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hidePivotFieldList="1"/>
  <mc:AlternateContent xmlns:mc="http://schemas.openxmlformats.org/markup-compatibility/2006">
    <mc:Choice Requires="x15">
      <x15ac:absPath xmlns:x15ac="http://schemas.microsoft.com/office/spreadsheetml/2010/11/ac" url="/Users/trijal/Downloads/"/>
    </mc:Choice>
  </mc:AlternateContent>
  <xr:revisionPtr revIDLastSave="0" documentId="8_{08F1752F-25CE-534E-ACAF-F2C32E2BE9CE}" xr6:coauthVersionLast="47" xr6:coauthVersionMax="47" xr10:uidLastSave="{00000000-0000-0000-0000-000000000000}"/>
  <bookViews>
    <workbookView xWindow="0" yWindow="0" windowWidth="25600" windowHeight="16000" activeTab="3" xr2:uid="{00000000-000D-0000-FFFF-FFFF00000000}"/>
  </bookViews>
  <sheets>
    <sheet name="Sheet2" sheetId="5" r:id="rId1"/>
    <sheet name="Sheet7" sheetId="10" r:id="rId2"/>
    <sheet name="Shipments" sheetId="1" r:id="rId3"/>
    <sheet name="Dashboard" sheetId="2" r:id="rId4"/>
    <sheet name="Lists" sheetId="3" r:id="rId5"/>
  </sheets>
  <definedNames>
    <definedName name="Slicer_Shipment_Status">#N/A</definedName>
    <definedName name="Slicer_Shipping_Lin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2" l="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alcChain>
</file>

<file path=xl/sharedStrings.xml><?xml version="1.0" encoding="utf-8"?>
<sst xmlns="http://schemas.openxmlformats.org/spreadsheetml/2006/main" count="588" uniqueCount="239">
  <si>
    <t>Shipment ID</t>
  </si>
  <si>
    <t>Exporter</t>
  </si>
  <si>
    <t>Importer</t>
  </si>
  <si>
    <t>Origin Country</t>
  </si>
  <si>
    <t>Destination Country</t>
  </si>
  <si>
    <t>Incoterm</t>
  </si>
  <si>
    <t>Shipping Line</t>
  </si>
  <si>
    <t>Container No.</t>
  </si>
  <si>
    <t>ETD</t>
  </si>
  <si>
    <t>ETA</t>
  </si>
  <si>
    <t>Shipment Status</t>
  </si>
  <si>
    <t>Freight Cost</t>
  </si>
  <si>
    <t>Customs Status</t>
  </si>
  <si>
    <t>Payment Status</t>
  </si>
  <si>
    <t>Transit Days</t>
  </si>
  <si>
    <t>S001</t>
  </si>
  <si>
    <t>Tata Steel</t>
  </si>
  <si>
    <t>Tesco</t>
  </si>
  <si>
    <t>India</t>
  </si>
  <si>
    <t>United Kingdom</t>
  </si>
  <si>
    <t>FOB</t>
  </si>
  <si>
    <t>Maersk</t>
  </si>
  <si>
    <t>CONT100000</t>
  </si>
  <si>
    <t>2026-07-25</t>
  </si>
  <si>
    <t>2026-08-15</t>
  </si>
  <si>
    <t>Booked</t>
  </si>
  <si>
    <t>Pending</t>
  </si>
  <si>
    <t>S002</t>
  </si>
  <si>
    <t>Reliance Industries</t>
  </si>
  <si>
    <t>Boots</t>
  </si>
  <si>
    <t>CIF</t>
  </si>
  <si>
    <t>MSC</t>
  </si>
  <si>
    <t>CONT100001</t>
  </si>
  <si>
    <t>2026-07-27</t>
  </si>
  <si>
    <t>2026-08-17</t>
  </si>
  <si>
    <t>In Transit</t>
  </si>
  <si>
    <t>Cleared</t>
  </si>
  <si>
    <t>Partial</t>
  </si>
  <si>
    <t>S003</t>
  </si>
  <si>
    <t>Mahindra &amp; Mahindra</t>
  </si>
  <si>
    <t>Jaguar Land Rover</t>
  </si>
  <si>
    <t>FCA</t>
  </si>
  <si>
    <t>CMA CGM</t>
  </si>
  <si>
    <t>CONT100002</t>
  </si>
  <si>
    <t>2026-07-29</t>
  </si>
  <si>
    <t>2026-08-19</t>
  </si>
  <si>
    <t>Delivered</t>
  </si>
  <si>
    <t>Paid</t>
  </si>
  <si>
    <t>S004</t>
  </si>
  <si>
    <t>Sun Pharma</t>
  </si>
  <si>
    <t>B&amp;Q</t>
  </si>
  <si>
    <t>DAP</t>
  </si>
  <si>
    <t>Hapag-Lloyd</t>
  </si>
  <si>
    <t>CONT100003</t>
  </si>
  <si>
    <t>2026-07-31</t>
  </si>
  <si>
    <t>2026-08-21</t>
  </si>
  <si>
    <t>At Port</t>
  </si>
  <si>
    <t>S005</t>
  </si>
  <si>
    <t>Infosys</t>
  </si>
  <si>
    <t>IKEA UK</t>
  </si>
  <si>
    <t>CPT</t>
  </si>
  <si>
    <t>Evergreen</t>
  </si>
  <si>
    <t>CONT100004</t>
  </si>
  <si>
    <t>2026-08-02</t>
  </si>
  <si>
    <t>2026-08-23</t>
  </si>
  <si>
    <t>Customs Clearance</t>
  </si>
  <si>
    <t>S006</t>
  </si>
  <si>
    <t>Asian Paints</t>
  </si>
  <si>
    <t>Sainsbury's</t>
  </si>
  <si>
    <t>DDP</t>
  </si>
  <si>
    <t>ONE</t>
  </si>
  <si>
    <t>CONT100005</t>
  </si>
  <si>
    <t>2026-08-04</t>
  </si>
  <si>
    <t>2026-08-25</t>
  </si>
  <si>
    <t>S007</t>
  </si>
  <si>
    <t>Godrej</t>
  </si>
  <si>
    <t>Homebase</t>
  </si>
  <si>
    <t>EXW</t>
  </si>
  <si>
    <t>CONT100006</t>
  </si>
  <si>
    <t>2026-08-06</t>
  </si>
  <si>
    <t>2026-08-27</t>
  </si>
  <si>
    <t>S008</t>
  </si>
  <si>
    <t>ITC Ltd</t>
  </si>
  <si>
    <t>Next</t>
  </si>
  <si>
    <t>CIP</t>
  </si>
  <si>
    <t>CONT100007</t>
  </si>
  <si>
    <t>2026-08-08</t>
  </si>
  <si>
    <t>2026-08-29</t>
  </si>
  <si>
    <t>S009</t>
  </si>
  <si>
    <t>Dabur India</t>
  </si>
  <si>
    <t>BP UK</t>
  </si>
  <si>
    <t>CONT100008</t>
  </si>
  <si>
    <t>2026-08-10</t>
  </si>
  <si>
    <t>2026-08-31</t>
  </si>
  <si>
    <t>S010</t>
  </si>
  <si>
    <t>Pidilite</t>
  </si>
  <si>
    <t>Volvo UK</t>
  </si>
  <si>
    <t>CONT100009</t>
  </si>
  <si>
    <t>2026-08-12</t>
  </si>
  <si>
    <t>2026-09-02</t>
  </si>
  <si>
    <t>S011</t>
  </si>
  <si>
    <t>CONT100010</t>
  </si>
  <si>
    <t>2026-08-14</t>
  </si>
  <si>
    <t>2026-09-04</t>
  </si>
  <si>
    <t>S012</t>
  </si>
  <si>
    <t>CONT100011</t>
  </si>
  <si>
    <t>2026-08-16</t>
  </si>
  <si>
    <t>2026-09-06</t>
  </si>
  <si>
    <t>S013</t>
  </si>
  <si>
    <t>CONT100012</t>
  </si>
  <si>
    <t>2026-08-18</t>
  </si>
  <si>
    <t>2026-09-08</t>
  </si>
  <si>
    <t>S014</t>
  </si>
  <si>
    <t>CONT100013</t>
  </si>
  <si>
    <t>2026-08-20</t>
  </si>
  <si>
    <t>2026-09-10</t>
  </si>
  <si>
    <t>S015</t>
  </si>
  <si>
    <t>CONT100014</t>
  </si>
  <si>
    <t>2026-08-22</t>
  </si>
  <si>
    <t>2026-09-12</t>
  </si>
  <si>
    <t>S016</t>
  </si>
  <si>
    <t>CONT100015</t>
  </si>
  <si>
    <t>2026-08-24</t>
  </si>
  <si>
    <t>2026-09-14</t>
  </si>
  <si>
    <t>S017</t>
  </si>
  <si>
    <t>CONT100016</t>
  </si>
  <si>
    <t>2026-08-26</t>
  </si>
  <si>
    <t>2026-09-16</t>
  </si>
  <si>
    <t>S018</t>
  </si>
  <si>
    <t>CONT100017</t>
  </si>
  <si>
    <t>2026-08-28</t>
  </si>
  <si>
    <t>2026-09-18</t>
  </si>
  <si>
    <t>S019</t>
  </si>
  <si>
    <t>CONT100018</t>
  </si>
  <si>
    <t>2026-08-30</t>
  </si>
  <si>
    <t>2026-09-20</t>
  </si>
  <si>
    <t>S020</t>
  </si>
  <si>
    <t>CONT100019</t>
  </si>
  <si>
    <t>2026-09-01</t>
  </si>
  <si>
    <t>2026-09-22</t>
  </si>
  <si>
    <t>S021</t>
  </si>
  <si>
    <t>CONT100020</t>
  </si>
  <si>
    <t>2026-09-03</t>
  </si>
  <si>
    <t>2026-09-24</t>
  </si>
  <si>
    <t>S022</t>
  </si>
  <si>
    <t>CONT100021</t>
  </si>
  <si>
    <t>2026-09-05</t>
  </si>
  <si>
    <t>2026-09-26</t>
  </si>
  <si>
    <t>S023</t>
  </si>
  <si>
    <t>CONT100022</t>
  </si>
  <si>
    <t>2026-09-07</t>
  </si>
  <si>
    <t>2026-09-28</t>
  </si>
  <si>
    <t>S024</t>
  </si>
  <si>
    <t>CONT100023</t>
  </si>
  <si>
    <t>2026-09-09</t>
  </si>
  <si>
    <t>2026-09-30</t>
  </si>
  <si>
    <t>S025</t>
  </si>
  <si>
    <t>CONT100024</t>
  </si>
  <si>
    <t>2026-09-11</t>
  </si>
  <si>
    <t>2026-10-02</t>
  </si>
  <si>
    <t>S026</t>
  </si>
  <si>
    <t>CONT100025</t>
  </si>
  <si>
    <t>2026-09-13</t>
  </si>
  <si>
    <t>2026-10-04</t>
  </si>
  <si>
    <t>S027</t>
  </si>
  <si>
    <t>CONT100026</t>
  </si>
  <si>
    <t>2026-09-15</t>
  </si>
  <si>
    <t>2026-10-06</t>
  </si>
  <si>
    <t>S028</t>
  </si>
  <si>
    <t>CONT100027</t>
  </si>
  <si>
    <t>2026-09-17</t>
  </si>
  <si>
    <t>2026-10-08</t>
  </si>
  <si>
    <t>S029</t>
  </si>
  <si>
    <t>CONT100028</t>
  </si>
  <si>
    <t>2026-09-19</t>
  </si>
  <si>
    <t>2026-10-10</t>
  </si>
  <si>
    <t>S030</t>
  </si>
  <si>
    <t>CONT100029</t>
  </si>
  <si>
    <t>2026-09-21</t>
  </si>
  <si>
    <t>2026-10-12</t>
  </si>
  <si>
    <t>S031</t>
  </si>
  <si>
    <t>CONT100030</t>
  </si>
  <si>
    <t>2026-09-23</t>
  </si>
  <si>
    <t>2026-10-14</t>
  </si>
  <si>
    <t>S032</t>
  </si>
  <si>
    <t>CONT100031</t>
  </si>
  <si>
    <t>2026-09-25</t>
  </si>
  <si>
    <t>2026-10-16</t>
  </si>
  <si>
    <t>S033</t>
  </si>
  <si>
    <t>CONT100032</t>
  </si>
  <si>
    <t>2026-09-27</t>
  </si>
  <si>
    <t>2026-10-18</t>
  </si>
  <si>
    <t>S034</t>
  </si>
  <si>
    <t>CONT100033</t>
  </si>
  <si>
    <t>2026-09-29</t>
  </si>
  <si>
    <t>2026-10-20</t>
  </si>
  <si>
    <t>S035</t>
  </si>
  <si>
    <t>CONT100034</t>
  </si>
  <si>
    <t>2026-10-01</t>
  </si>
  <si>
    <t>2026-10-22</t>
  </si>
  <si>
    <t>S036</t>
  </si>
  <si>
    <t>CONT100035</t>
  </si>
  <si>
    <t>2026-10-03</t>
  </si>
  <si>
    <t>2026-10-24</t>
  </si>
  <si>
    <t>S037</t>
  </si>
  <si>
    <t>CONT100036</t>
  </si>
  <si>
    <t>2026-10-05</t>
  </si>
  <si>
    <t>2026-10-26</t>
  </si>
  <si>
    <t>S038</t>
  </si>
  <si>
    <t>CONT100037</t>
  </si>
  <si>
    <t>2026-10-07</t>
  </si>
  <si>
    <t>2026-10-28</t>
  </si>
  <si>
    <t>S039</t>
  </si>
  <si>
    <t>CONT100038</t>
  </si>
  <si>
    <t>2026-10-09</t>
  </si>
  <si>
    <t>2026-10-30</t>
  </si>
  <si>
    <t>S040</t>
  </si>
  <si>
    <t>CONT100039</t>
  </si>
  <si>
    <t>2026-10-11</t>
  </si>
  <si>
    <t>2026-11-01</t>
  </si>
  <si>
    <t>Total Shipments</t>
  </si>
  <si>
    <t>Avg Transit Days</t>
  </si>
  <si>
    <t>Incoterms</t>
  </si>
  <si>
    <t>Row Labels</t>
  </si>
  <si>
    <t>Grand Total</t>
  </si>
  <si>
    <t>Count of Shipment ID</t>
  </si>
  <si>
    <t>Sum of Freight Cost</t>
  </si>
  <si>
    <t>month</t>
  </si>
  <si>
    <t>Jul</t>
  </si>
  <si>
    <t>Aug</t>
  </si>
  <si>
    <t>Sep</t>
  </si>
  <si>
    <t>Oct</t>
  </si>
  <si>
    <t>Import &amp; Export Operations Dashboard</t>
  </si>
  <si>
    <t>Shipment Performance | Freight Cost | Logistics KPIs</t>
  </si>
  <si>
    <t>Customs clearannce</t>
  </si>
  <si>
    <t>Total Freight</t>
  </si>
  <si>
    <t>157K</t>
  </si>
  <si>
    <t>Prepared by</t>
  </si>
  <si>
    <t>Trijal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</si>
</sst>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_([$€-2]\ * #,##0.00_);_([$€-2]\ * \(#,##0.00\);_([$€-2]\ * &quot;-&quot;??_);_(@_)"/>
  </numFmts>
  <fonts count="10" x14ac:knownFonts="1">
    <font>
      <sz val="11"/>
      <color theme="1"/>
      <name val="Calibri"/>
      <family val="2"/>
      <scheme val="minor"/>
    </font>
    <font>
      <b/>
      <sz val="11"/>
      <color rgb="FFFFFFFF"/>
      <name val="Calibri"/>
      <family val="2"/>
    </font>
    <font>
      <b/>
      <sz val="20"/>
      <color theme="0"/>
      <name val="Calibri"/>
      <family val="2"/>
    </font>
    <font>
      <b/>
      <sz val="11"/>
      <color theme="0"/>
      <name val="Calibri"/>
      <family val="2"/>
      <scheme val="minor"/>
    </font>
    <font>
      <sz val="11"/>
      <color theme="1"/>
      <name val="Calibri"/>
      <family val="2"/>
      <scheme val="minor"/>
    </font>
    <font>
      <sz val="11"/>
      <color theme="0"/>
      <name val="Calibri"/>
      <family val="2"/>
      <scheme val="minor"/>
    </font>
    <font>
      <sz val="11"/>
      <color rgb="FFFF0000"/>
      <name val="Calibri"/>
      <family val="2"/>
      <scheme val="minor"/>
    </font>
    <font>
      <b/>
      <sz val="20"/>
      <color theme="0" tint="-0.499984740745262"/>
      <name val="Calibri (Body)"/>
    </font>
    <font>
      <sz val="11"/>
      <color theme="0" tint="-0.499984740745262"/>
      <name val="Calibri"/>
      <family val="2"/>
      <scheme val="minor"/>
    </font>
    <font>
      <b/>
      <sz val="11"/>
      <color theme="0" tint="-0.499984740745262"/>
      <name val="Calibri"/>
      <family val="2"/>
      <scheme val="minor"/>
    </font>
  </fonts>
  <fills count="6">
    <fill>
      <patternFill patternType="none"/>
    </fill>
    <fill>
      <patternFill patternType="gray125"/>
    </fill>
    <fill>
      <patternFill patternType="solid">
        <fgColor rgb="FF1F4E78"/>
      </patternFill>
    </fill>
    <fill>
      <patternFill patternType="solid">
        <fgColor theme="3" tint="-0.249977111117893"/>
        <bgColor indexed="64"/>
      </patternFill>
    </fill>
    <fill>
      <patternFill patternType="solid">
        <fgColor rgb="FF002060"/>
        <bgColor indexed="64"/>
      </patternFill>
    </fill>
    <fill>
      <patternFill patternType="solid">
        <fgColor theme="0" tint="-0.499984740745262"/>
        <bgColor indexed="64"/>
      </patternFill>
    </fill>
  </fills>
  <borders count="1">
    <border>
      <left/>
      <right/>
      <top/>
      <bottom/>
      <diagonal/>
    </border>
  </borders>
  <cellStyleXfs count="2">
    <xf numFmtId="0" fontId="0" fillId="0" borderId="0"/>
    <xf numFmtId="44" fontId="4" fillId="0" borderId="0" applyFont="0" applyFill="0" applyBorder="0" applyAlignment="0" applyProtection="0"/>
  </cellStyleXfs>
  <cellXfs count="24">
    <xf numFmtId="0" fontId="0" fillId="0" borderId="0" xfId="0"/>
    <xf numFmtId="0" fontId="1" fillId="2" borderId="0" xfId="0" applyFont="1" applyFill="1"/>
    <xf numFmtId="0" fontId="0" fillId="0" borderId="0" xfId="0" pivotButton="1"/>
    <xf numFmtId="0" fontId="0" fillId="0" borderId="0" xfId="0" applyAlignment="1">
      <alignment horizontal="left"/>
    </xf>
    <xf numFmtId="0" fontId="0" fillId="4" borderId="0" xfId="0" applyFill="1"/>
    <xf numFmtId="0" fontId="2" fillId="3" borderId="0" xfId="0" applyFont="1" applyFill="1"/>
    <xf numFmtId="0" fontId="0" fillId="3" borderId="0" xfId="0" applyFill="1"/>
    <xf numFmtId="0" fontId="9" fillId="3" borderId="0" xfId="0" applyFont="1" applyFill="1" applyAlignment="1">
      <alignment horizontal="left"/>
    </xf>
    <xf numFmtId="0" fontId="8" fillId="5" borderId="0" xfId="0" applyFont="1" applyFill="1"/>
    <xf numFmtId="0" fontId="0" fillId="5" borderId="0" xfId="0" applyFill="1"/>
    <xf numFmtId="0" fontId="0" fillId="5" borderId="0" xfId="0" applyFill="1" applyAlignment="1">
      <alignment horizontal="left"/>
    </xf>
    <xf numFmtId="165" fontId="0" fillId="5" borderId="0" xfId="1" applyNumberFormat="1" applyFont="1" applyFill="1" applyAlignment="1">
      <alignment horizontal="center"/>
    </xf>
    <xf numFmtId="0" fontId="2" fillId="3" borderId="0" xfId="0" applyFont="1" applyFill="1" applyAlignment="1">
      <alignment horizontal="left" indent="1"/>
    </xf>
    <xf numFmtId="0" fontId="7" fillId="3" borderId="0" xfId="0" applyFont="1" applyFill="1" applyAlignment="1">
      <alignment horizontal="left" indent="1"/>
    </xf>
    <xf numFmtId="0" fontId="9" fillId="3" borderId="0" xfId="0" applyFont="1" applyFill="1" applyAlignment="1">
      <alignment horizontal="left" vertical="center" indent="9"/>
    </xf>
    <xf numFmtId="0" fontId="0" fillId="0" borderId="0" xfId="0" applyAlignment="1">
      <alignment wrapText="1"/>
    </xf>
    <xf numFmtId="0" fontId="3" fillId="4" borderId="0" xfId="0" applyFont="1" applyFill="1" applyAlignment="1">
      <alignment horizontal="center"/>
    </xf>
    <xf numFmtId="0" fontId="3" fillId="4" borderId="0" xfId="0" applyFont="1" applyFill="1" applyAlignment="1">
      <alignment horizontal="left" indent="1"/>
    </xf>
    <xf numFmtId="0" fontId="0" fillId="5" borderId="0" xfId="0" applyFill="1" applyAlignment="1">
      <alignment horizontal="left"/>
    </xf>
    <xf numFmtId="0" fontId="3" fillId="3" borderId="0" xfId="0" applyFont="1" applyFill="1" applyAlignment="1">
      <alignment horizontal="center"/>
    </xf>
    <xf numFmtId="0" fontId="0" fillId="5" borderId="0" xfId="0" applyFill="1" applyAlignment="1">
      <alignment horizontal="center"/>
    </xf>
    <xf numFmtId="0" fontId="3" fillId="4" borderId="0" xfId="0" applyFont="1" applyFill="1"/>
    <xf numFmtId="0" fontId="5" fillId="4" borderId="0" xfId="0" applyFont="1" applyFill="1" applyAlignment="1">
      <alignment horizontal="center"/>
    </xf>
    <xf numFmtId="164" fontId="6" fillId="5" borderId="0" xfId="1" applyNumberFormat="1" applyFont="1" applyFill="1" applyAlignment="1">
      <alignment horizontal="center"/>
    </xf>
  </cellXfs>
  <cellStyles count="2">
    <cellStyle name="Currency" xfId="1" builtinId="4"/>
    <cellStyle name="Normal" xfId="0" builtinId="0"/>
  </cellStyles>
  <dxfs count="1">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[Import_Export_Tracker_.xlsx]Sheet2!PivotTable1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Shipments</a:t>
            </a:r>
            <a:r>
              <a:rPr lang="en-GB" b="1" baseline="0"/>
              <a:t> Status Overview</a:t>
            </a:r>
          </a:p>
          <a:p>
            <a:pPr>
              <a:defRPr/>
            </a:pPr>
            <a:endParaRPr lang="en-GB"/>
          </a:p>
        </c:rich>
      </c:tx>
      <c:layout>
        <c:manualLayout>
          <c:xMode val="edge"/>
          <c:yMode val="edge"/>
          <c:x val="0.34230919765166334"/>
          <c:y val="4.166666666666666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Sheet2!$G$17</c:f>
              <c:strCache>
                <c:ptCount val="1"/>
                <c:pt idx="0">
                  <c:v>Total</c:v>
                </c:pt>
              </c:strCache>
            </c:strRef>
          </c:tx>
          <c:spPr>
            <a:solidFill>
              <a:schemeClr val="tx2"/>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5-5EB5-D540-A4AD-335BCE610416}"/>
              </c:ext>
            </c:extLst>
          </c:dPt>
          <c:dPt>
            <c:idx val="1"/>
            <c:invertIfNegative val="0"/>
            <c:bubble3D val="0"/>
            <c:spPr>
              <a:solidFill>
                <a:schemeClr val="tx2"/>
              </a:solidFill>
              <a:ln>
                <a:noFill/>
              </a:ln>
              <a:effectLst/>
            </c:spPr>
            <c:extLst>
              <c:ext xmlns:c16="http://schemas.microsoft.com/office/drawing/2014/chart" uri="{C3380CC4-5D6E-409C-BE32-E72D297353CC}">
                <c16:uniqueId val="{00000001-5EB5-D540-A4AD-335BCE610416}"/>
              </c:ext>
            </c:extLst>
          </c:dPt>
          <c:dPt>
            <c:idx val="2"/>
            <c:invertIfNegative val="0"/>
            <c:bubble3D val="0"/>
            <c:spPr>
              <a:solidFill>
                <a:schemeClr val="tx2"/>
              </a:solidFill>
              <a:ln>
                <a:noFill/>
              </a:ln>
              <a:effectLst/>
            </c:spPr>
            <c:extLst>
              <c:ext xmlns:c16="http://schemas.microsoft.com/office/drawing/2014/chart" uri="{C3380CC4-5D6E-409C-BE32-E72D297353CC}">
                <c16:uniqueId val="{00000002-5EB5-D540-A4AD-335BCE610416}"/>
              </c:ext>
            </c:extLst>
          </c:dPt>
          <c:dPt>
            <c:idx val="3"/>
            <c:invertIfNegative val="0"/>
            <c:bubble3D val="0"/>
            <c:spPr>
              <a:solidFill>
                <a:schemeClr val="tx2"/>
              </a:solidFill>
              <a:ln>
                <a:noFill/>
              </a:ln>
              <a:effectLst/>
            </c:spPr>
            <c:extLst>
              <c:ext xmlns:c16="http://schemas.microsoft.com/office/drawing/2014/chart" uri="{C3380CC4-5D6E-409C-BE32-E72D297353CC}">
                <c16:uniqueId val="{00000003-5EB5-D540-A4AD-335BCE610416}"/>
              </c:ext>
            </c:extLst>
          </c:dPt>
          <c:dPt>
            <c:idx val="4"/>
            <c:invertIfNegative val="0"/>
            <c:bubble3D val="0"/>
            <c:spPr>
              <a:solidFill>
                <a:schemeClr val="tx2"/>
              </a:solidFill>
              <a:ln>
                <a:noFill/>
              </a:ln>
              <a:effectLst/>
            </c:spPr>
            <c:extLst>
              <c:ext xmlns:c16="http://schemas.microsoft.com/office/drawing/2014/chart" uri="{C3380CC4-5D6E-409C-BE32-E72D297353CC}">
                <c16:uniqueId val="{00000004-5EB5-D540-A4AD-335BCE610416}"/>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EB5-D540-A4AD-335BCE610416}"/>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B5-D540-A4AD-335BCE610416}"/>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EB5-D540-A4AD-335BCE610416}"/>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B5-D540-A4AD-335BCE610416}"/>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EB5-D540-A4AD-335BCE6104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Sheet2!$F$18:$F$23</c:f>
              <c:strCache>
                <c:ptCount val="5"/>
                <c:pt idx="0">
                  <c:v>At Port</c:v>
                </c:pt>
                <c:pt idx="1">
                  <c:v>Booked</c:v>
                </c:pt>
                <c:pt idx="2">
                  <c:v>Customs Clearance</c:v>
                </c:pt>
                <c:pt idx="3">
                  <c:v>Delivered</c:v>
                </c:pt>
                <c:pt idx="4">
                  <c:v>In Transit</c:v>
                </c:pt>
              </c:strCache>
            </c:strRef>
          </c:cat>
          <c:val>
            <c:numRef>
              <c:f>Sheet2!$G$18:$G$23</c:f>
              <c:numCache>
                <c:formatCode>General</c:formatCode>
                <c:ptCount val="5"/>
                <c:pt idx="0">
                  <c:v>8</c:v>
                </c:pt>
                <c:pt idx="1">
                  <c:v>8</c:v>
                </c:pt>
                <c:pt idx="2">
                  <c:v>8</c:v>
                </c:pt>
                <c:pt idx="3">
                  <c:v>8</c:v>
                </c:pt>
                <c:pt idx="4">
                  <c:v>8</c:v>
                </c:pt>
              </c:numCache>
            </c:numRef>
          </c:val>
          <c:extLst>
            <c:ext xmlns:c16="http://schemas.microsoft.com/office/drawing/2014/chart" uri="{C3380CC4-5D6E-409C-BE32-E72D297353CC}">
              <c16:uniqueId val="{00000000-5EB5-D540-A4AD-335BCE610416}"/>
            </c:ext>
          </c:extLst>
        </c:ser>
        <c:dLbls>
          <c:showLegendKey val="0"/>
          <c:showVal val="0"/>
          <c:showCatName val="0"/>
          <c:showSerName val="0"/>
          <c:showPercent val="0"/>
          <c:showBubbleSize val="0"/>
        </c:dLbls>
        <c:gapWidth val="219"/>
        <c:overlap val="-27"/>
        <c:axId val="2053631808"/>
        <c:axId val="2070507328"/>
      </c:barChart>
      <c:catAx>
        <c:axId val="205363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507328"/>
        <c:crosses val="autoZero"/>
        <c:auto val="1"/>
        <c:lblAlgn val="ctr"/>
        <c:lblOffset val="100"/>
        <c:noMultiLvlLbl val="0"/>
      </c:catAx>
      <c:valAx>
        <c:axId val="207050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631808"/>
        <c:crosses val="autoZero"/>
        <c:crossBetween val="between"/>
      </c:valAx>
      <c:spPr>
        <a:noFill/>
        <a:ln cmpd="dbl">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[Import_Export_Tracker_.xlsx]Sheet2!PivotTable2</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b="1"/>
              <a:t>Freight Cost by Shipping Line (£)</a:t>
            </a:r>
            <a:endParaRPr lang="en-GB"/>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GB"/>
          </a:p>
        </c:rich>
      </c:tx>
      <c:layout>
        <c:manualLayout>
          <c:xMode val="edge"/>
          <c:yMode val="edge"/>
          <c:x val="0.25349995139496451"/>
          <c:y val="4.9019607843137254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928218275041204E-2"/>
          <c:y val="0.16503355704697986"/>
          <c:w val="0.88686247939937746"/>
          <c:h val="0.74034138350155898"/>
        </c:manualLayout>
      </c:layout>
      <c:barChart>
        <c:barDir val="col"/>
        <c:grouping val="clustered"/>
        <c:varyColors val="0"/>
        <c:ser>
          <c:idx val="0"/>
          <c:order val="0"/>
          <c:tx>
            <c:strRef>
              <c:f>Sheet2!$B$3</c:f>
              <c:strCache>
                <c:ptCount val="1"/>
                <c:pt idx="0">
                  <c:v>Total</c:v>
                </c:pt>
              </c:strCache>
            </c:strRef>
          </c:tx>
          <c:spPr>
            <a:solidFill>
              <a:schemeClr val="tx2"/>
            </a:solidFill>
            <a:ln>
              <a:noFill/>
            </a:ln>
            <a:effectLst/>
          </c:spPr>
          <c:invertIfNegative val="0"/>
          <c:cat>
            <c:strRef>
              <c:f>Sheet2!$A$4:$A$10</c:f>
              <c:strCache>
                <c:ptCount val="6"/>
                <c:pt idx="0">
                  <c:v>CMA CGM</c:v>
                </c:pt>
                <c:pt idx="1">
                  <c:v>Evergreen</c:v>
                </c:pt>
                <c:pt idx="2">
                  <c:v>Hapag-Lloyd</c:v>
                </c:pt>
                <c:pt idx="3">
                  <c:v>Maersk</c:v>
                </c:pt>
                <c:pt idx="4">
                  <c:v>MSC</c:v>
                </c:pt>
                <c:pt idx="5">
                  <c:v>ONE</c:v>
                </c:pt>
              </c:strCache>
            </c:strRef>
          </c:cat>
          <c:val>
            <c:numRef>
              <c:f>Sheet2!$B$4:$B$10</c:f>
              <c:numCache>
                <c:formatCode>General</c:formatCode>
                <c:ptCount val="6"/>
                <c:pt idx="0">
                  <c:v>31483</c:v>
                </c:pt>
                <c:pt idx="1">
                  <c:v>23778</c:v>
                </c:pt>
                <c:pt idx="2">
                  <c:v>27403</c:v>
                </c:pt>
                <c:pt idx="3">
                  <c:v>25066</c:v>
                </c:pt>
                <c:pt idx="4">
                  <c:v>24517</c:v>
                </c:pt>
                <c:pt idx="5">
                  <c:v>25677</c:v>
                </c:pt>
              </c:numCache>
            </c:numRef>
          </c:val>
          <c:extLst>
            <c:ext xmlns:c16="http://schemas.microsoft.com/office/drawing/2014/chart" uri="{C3380CC4-5D6E-409C-BE32-E72D297353CC}">
              <c16:uniqueId val="{00000000-28F3-4248-84CE-DC715DAD7F44}"/>
            </c:ext>
          </c:extLst>
        </c:ser>
        <c:dLbls>
          <c:showLegendKey val="0"/>
          <c:showVal val="0"/>
          <c:showCatName val="0"/>
          <c:showSerName val="0"/>
          <c:showPercent val="0"/>
          <c:showBubbleSize val="0"/>
        </c:dLbls>
        <c:gapWidth val="219"/>
        <c:overlap val="-27"/>
        <c:axId val="2132032384"/>
        <c:axId val="2132030144"/>
      </c:barChart>
      <c:catAx>
        <c:axId val="213203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030144"/>
        <c:crosses val="autoZero"/>
        <c:auto val="1"/>
        <c:lblAlgn val="ctr"/>
        <c:lblOffset val="100"/>
        <c:noMultiLvlLbl val="0"/>
      </c:catAx>
      <c:valAx>
        <c:axId val="21320301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03238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[Import_Export_Tracker_.xlsx]Sheet2!PivotTable6</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b="1"/>
              <a:t>Monthly Shipment Trend</a:t>
            </a:r>
            <a:endParaRPr lang="en-GB"/>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042593360040522E-2"/>
          <c:y val="0.26538116591928251"/>
          <c:w val="0.94887553529493018"/>
          <c:h val="0.65301225239221783"/>
        </c:manualLayout>
      </c:layout>
      <c:lineChart>
        <c:grouping val="standard"/>
        <c:varyColors val="0"/>
        <c:ser>
          <c:idx val="0"/>
          <c:order val="0"/>
          <c:tx>
            <c:strRef>
              <c:f>Sheet2!$E$6</c:f>
              <c:strCache>
                <c:ptCount val="1"/>
                <c:pt idx="0">
                  <c:v>Total</c:v>
                </c:pt>
              </c:strCache>
            </c:strRef>
          </c:tx>
          <c:spPr>
            <a:ln w="28575" cap="rnd">
              <a:solidFill>
                <a:schemeClr val="accent1"/>
              </a:solidFill>
              <a:round/>
            </a:ln>
            <a:effectLst/>
          </c:spPr>
          <c:marker>
            <c:symbol val="none"/>
          </c:marker>
          <c:cat>
            <c:strRef>
              <c:f>Sheet2!$D$7:$D$11</c:f>
              <c:strCache>
                <c:ptCount val="4"/>
                <c:pt idx="0">
                  <c:v>Jul</c:v>
                </c:pt>
                <c:pt idx="1">
                  <c:v>Aug</c:v>
                </c:pt>
                <c:pt idx="2">
                  <c:v>Sep</c:v>
                </c:pt>
                <c:pt idx="3">
                  <c:v>Oct</c:v>
                </c:pt>
              </c:strCache>
            </c:strRef>
          </c:cat>
          <c:val>
            <c:numRef>
              <c:f>Sheet2!$E$7:$E$11</c:f>
              <c:numCache>
                <c:formatCode>General</c:formatCode>
                <c:ptCount val="4"/>
                <c:pt idx="0">
                  <c:v>4</c:v>
                </c:pt>
                <c:pt idx="1">
                  <c:v>15</c:v>
                </c:pt>
                <c:pt idx="2">
                  <c:v>15</c:v>
                </c:pt>
                <c:pt idx="3">
                  <c:v>6</c:v>
                </c:pt>
              </c:numCache>
            </c:numRef>
          </c:val>
          <c:smooth val="0"/>
          <c:extLst>
            <c:ext xmlns:c16="http://schemas.microsoft.com/office/drawing/2014/chart" uri="{C3380CC4-5D6E-409C-BE32-E72D297353CC}">
              <c16:uniqueId val="{00000000-2DC0-DB4F-859A-E810FB4F286D}"/>
            </c:ext>
          </c:extLst>
        </c:ser>
        <c:dLbls>
          <c:showLegendKey val="0"/>
          <c:showVal val="0"/>
          <c:showCatName val="0"/>
          <c:showSerName val="0"/>
          <c:showPercent val="0"/>
          <c:showBubbleSize val="0"/>
        </c:dLbls>
        <c:smooth val="0"/>
        <c:axId val="2107434624"/>
        <c:axId val="2070507328"/>
      </c:lineChart>
      <c:catAx>
        <c:axId val="210743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507328"/>
        <c:crosses val="autoZero"/>
        <c:auto val="1"/>
        <c:lblAlgn val="ctr"/>
        <c:lblOffset val="100"/>
        <c:noMultiLvlLbl val="0"/>
      </c:catAx>
      <c:valAx>
        <c:axId val="207050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43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[Import_Export_Tracker_.xlsx]Sheet7!PivotTable7</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b="1"/>
              <a:t>Payment Status Overview</a:t>
            </a:r>
            <a:endParaRPr lang="en-GB"/>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36848851367805829"/>
          <c:y val="0"/>
        </c:manualLayout>
      </c:layout>
      <c:overlay val="0"/>
      <c:spPr>
        <a:solidFill>
          <a:schemeClr val="bg1"/>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Sheet7!$A$4:$A$7</c:f>
              <c:strCache>
                <c:ptCount val="3"/>
                <c:pt idx="0">
                  <c:v>Paid</c:v>
                </c:pt>
                <c:pt idx="1">
                  <c:v>Partial</c:v>
                </c:pt>
                <c:pt idx="2">
                  <c:v>Pending</c:v>
                </c:pt>
              </c:strCache>
            </c:strRef>
          </c:cat>
          <c:val>
            <c:numRef>
              <c:f>Sheet7!$B$4:$B$7</c:f>
              <c:numCache>
                <c:formatCode>General</c:formatCode>
                <c:ptCount val="3"/>
                <c:pt idx="0">
                  <c:v>13</c:v>
                </c:pt>
                <c:pt idx="1">
                  <c:v>13</c:v>
                </c:pt>
                <c:pt idx="2">
                  <c:v>14</c:v>
                </c:pt>
              </c:numCache>
            </c:numRef>
          </c:val>
          <c:extLst>
            <c:ext xmlns:c16="http://schemas.microsoft.com/office/drawing/2014/chart" uri="{C3380CC4-5D6E-409C-BE32-E72D297353CC}">
              <c16:uniqueId val="{00000000-E1C4-5041-B4F4-BD4DB39E8C0C}"/>
            </c:ext>
          </c:extLst>
        </c:ser>
        <c:dLbls>
          <c:showLegendKey val="0"/>
          <c:showVal val="0"/>
          <c:showCatName val="0"/>
          <c:showSerName val="0"/>
          <c:showPercent val="0"/>
          <c:showBubbleSize val="0"/>
        </c:dLbls>
        <c:gapWidth val="219"/>
        <c:overlap val="-27"/>
        <c:axId val="2122217472"/>
        <c:axId val="6419583"/>
      </c:barChart>
      <c:catAx>
        <c:axId val="212221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9583"/>
        <c:crosses val="autoZero"/>
        <c:auto val="1"/>
        <c:lblAlgn val="ctr"/>
        <c:lblOffset val="100"/>
        <c:noMultiLvlLbl val="0"/>
      </c:catAx>
      <c:valAx>
        <c:axId val="6419583"/>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21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50800</xdr:colOff>
      <xdr:row>4</xdr:row>
      <xdr:rowOff>50800</xdr:rowOff>
    </xdr:from>
    <xdr:to>
      <xdr:col>12</xdr:col>
      <xdr:colOff>76200</xdr:colOff>
      <xdr:row>20</xdr:row>
      <xdr:rowOff>165100</xdr:rowOff>
    </xdr:to>
    <xdr:graphicFrame macro="">
      <xdr:nvGraphicFramePr>
        <xdr:cNvPr id="2" name="Chart 1">
          <a:extLst>
            <a:ext uri="{FF2B5EF4-FFF2-40B4-BE49-F238E27FC236}">
              <a16:creationId xmlns:a16="http://schemas.microsoft.com/office/drawing/2014/main" id="{3AF565C5-03CD-D140-A70E-8853EDA2D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50800</xdr:rowOff>
    </xdr:from>
    <xdr:to>
      <xdr:col>12</xdr:col>
      <xdr:colOff>63500</xdr:colOff>
      <xdr:row>36</xdr:row>
      <xdr:rowOff>88900</xdr:rowOff>
    </xdr:to>
    <xdr:graphicFrame macro="">
      <xdr:nvGraphicFramePr>
        <xdr:cNvPr id="4" name="Chart 3">
          <a:extLst>
            <a:ext uri="{FF2B5EF4-FFF2-40B4-BE49-F238E27FC236}">
              <a16:creationId xmlns:a16="http://schemas.microsoft.com/office/drawing/2014/main" id="{A663E308-C259-6840-BD13-BE5812400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101600</xdr:colOff>
      <xdr:row>4</xdr:row>
      <xdr:rowOff>177800</xdr:rowOff>
    </xdr:from>
    <xdr:to>
      <xdr:col>16</xdr:col>
      <xdr:colOff>419100</xdr:colOff>
      <xdr:row>20</xdr:row>
      <xdr:rowOff>88900</xdr:rowOff>
    </xdr:to>
    <mc:AlternateContent xmlns:mc="http://schemas.openxmlformats.org/markup-compatibility/2006" xmlns:a14="http://schemas.microsoft.com/office/drawing/2010/main">
      <mc:Choice Requires="a14">
        <xdr:graphicFrame macro="">
          <xdr:nvGraphicFramePr>
            <xdr:cNvPr id="5" name="Shipping Line">
              <a:extLst>
                <a:ext uri="{FF2B5EF4-FFF2-40B4-BE49-F238E27FC236}">
                  <a16:creationId xmlns:a16="http://schemas.microsoft.com/office/drawing/2014/main" id="{18D32D63-BE80-BB46-AB1A-C9970AB194DC}"/>
                </a:ext>
              </a:extLst>
            </xdr:cNvPr>
            <xdr:cNvGraphicFramePr/>
          </xdr:nvGraphicFramePr>
          <xdr:xfrm>
            <a:off x="0" y="0"/>
            <a:ext cx="0" cy="0"/>
          </xdr:xfrm>
          <a:graphic>
            <a:graphicData uri="http://schemas.microsoft.com/office/drawing/2010/slicer">
              <sle:slicer xmlns:sle="http://schemas.microsoft.com/office/drawing/2010/slicer" name="Shipping Line"/>
            </a:graphicData>
          </a:graphic>
        </xdr:graphicFrame>
      </mc:Choice>
      <mc:Fallback xmlns="">
        <xdr:sp macro="" textlink="">
          <xdr:nvSpPr>
            <xdr:cNvPr id="0" name=""/>
            <xdr:cNvSpPr>
              <a:spLocks noTextEdit="1"/>
            </xdr:cNvSpPr>
          </xdr:nvSpPr>
          <xdr:spPr>
            <a:xfrm>
              <a:off x="9423400" y="10795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431800</xdr:colOff>
      <xdr:row>5</xdr:row>
      <xdr:rowOff>0</xdr:rowOff>
    </xdr:from>
    <xdr:to>
      <xdr:col>22</xdr:col>
      <xdr:colOff>0</xdr:colOff>
      <xdr:row>20</xdr:row>
      <xdr:rowOff>76200</xdr:rowOff>
    </xdr:to>
    <mc:AlternateContent xmlns:mc="http://schemas.openxmlformats.org/markup-compatibility/2006" xmlns:a14="http://schemas.microsoft.com/office/drawing/2010/main">
      <mc:Choice Requires="a14">
        <xdr:graphicFrame macro="">
          <xdr:nvGraphicFramePr>
            <xdr:cNvPr id="6" name="Shipment Status">
              <a:extLst>
                <a:ext uri="{FF2B5EF4-FFF2-40B4-BE49-F238E27FC236}">
                  <a16:creationId xmlns:a16="http://schemas.microsoft.com/office/drawing/2014/main" id="{B23F6280-2A44-D447-9F7A-7CA030281E3F}"/>
                </a:ext>
              </a:extLst>
            </xdr:cNvPr>
            <xdr:cNvGraphicFramePr/>
          </xdr:nvGraphicFramePr>
          <xdr:xfrm>
            <a:off x="0" y="0"/>
            <a:ext cx="0" cy="0"/>
          </xdr:xfrm>
          <a:graphic>
            <a:graphicData uri="http://schemas.microsoft.com/office/drawing/2010/slicer">
              <sle:slicer xmlns:sle="http://schemas.microsoft.com/office/drawing/2010/slicer" name="Shipment Status"/>
            </a:graphicData>
          </a:graphic>
        </xdr:graphicFrame>
      </mc:Choice>
      <mc:Fallback xmlns="">
        <xdr:sp macro="" textlink="">
          <xdr:nvSpPr>
            <xdr:cNvPr id="0" name=""/>
            <xdr:cNvSpPr>
              <a:spLocks noTextEdit="1"/>
            </xdr:cNvSpPr>
          </xdr:nvSpPr>
          <xdr:spPr>
            <a:xfrm>
              <a:off x="11252200" y="10922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101600</xdr:colOff>
      <xdr:row>20</xdr:row>
      <xdr:rowOff>152400</xdr:rowOff>
    </xdr:from>
    <xdr:to>
      <xdr:col>24</xdr:col>
      <xdr:colOff>469900</xdr:colOff>
      <xdr:row>36</xdr:row>
      <xdr:rowOff>38100</xdr:rowOff>
    </xdr:to>
    <xdr:graphicFrame macro="">
      <xdr:nvGraphicFramePr>
        <xdr:cNvPr id="7" name="Chart 6">
          <a:extLst>
            <a:ext uri="{FF2B5EF4-FFF2-40B4-BE49-F238E27FC236}">
              <a16:creationId xmlns:a16="http://schemas.microsoft.com/office/drawing/2014/main" id="{91CE6533-A4EA-4FC0-8177-D1796F9F74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50800</xdr:colOff>
      <xdr:row>36</xdr:row>
      <xdr:rowOff>169333</xdr:rowOff>
    </xdr:from>
    <xdr:to>
      <xdr:col>11</xdr:col>
      <xdr:colOff>584200</xdr:colOff>
      <xdr:row>52</xdr:row>
      <xdr:rowOff>25400</xdr:rowOff>
    </xdr:to>
    <xdr:graphicFrame macro="">
      <xdr:nvGraphicFramePr>
        <xdr:cNvPr id="8" name="Chart 7">
          <a:extLst>
            <a:ext uri="{FF2B5EF4-FFF2-40B4-BE49-F238E27FC236}">
              <a16:creationId xmlns:a16="http://schemas.microsoft.com/office/drawing/2014/main" id="{1A661F97-8B68-5545-86B9-22E2789DA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ijal" refreshedDate="46226.728901273149" createdVersion="8" refreshedVersion="8" minRefreshableVersion="3" recordCount="40" xr:uid="{E0F37120-F099-714F-AEDE-B35063BC8B27}">
  <cacheSource type="worksheet">
    <worksheetSource name="ShipmentsTable"/>
  </cacheSource>
  <cacheFields count="17">
    <cacheField name="Shipment ID" numFmtId="0">
      <sharedItems count="40">
        <s v="S001"/>
        <s v="S002"/>
        <s v="S003"/>
        <s v="S004"/>
        <s v="S005"/>
        <s v="S006"/>
        <s v="S007"/>
        <s v="S008"/>
        <s v="S009"/>
        <s v="S010"/>
        <s v="S011"/>
        <s v="S012"/>
        <s v="S013"/>
        <s v="S014"/>
        <s v="S015"/>
        <s v="S016"/>
        <s v="S017"/>
        <s v="S018"/>
        <s v="S019"/>
        <s v="S020"/>
        <s v="S021"/>
        <s v="S022"/>
        <s v="S023"/>
        <s v="S024"/>
        <s v="S025"/>
        <s v="S026"/>
        <s v="S027"/>
        <s v="S028"/>
        <s v="S029"/>
        <s v="S030"/>
        <s v="S031"/>
        <s v="S032"/>
        <s v="S033"/>
        <s v="S034"/>
        <s v="S035"/>
        <s v="S036"/>
        <s v="S037"/>
        <s v="S038"/>
        <s v="S039"/>
        <s v="S040"/>
      </sharedItems>
    </cacheField>
    <cacheField name="Exporter" numFmtId="0">
      <sharedItems/>
    </cacheField>
    <cacheField name="Importer" numFmtId="0">
      <sharedItems/>
    </cacheField>
    <cacheField name="Origin Country" numFmtId="0">
      <sharedItems/>
    </cacheField>
    <cacheField name="Destination Country" numFmtId="0">
      <sharedItems/>
    </cacheField>
    <cacheField name="Incoterm" numFmtId="0">
      <sharedItems/>
    </cacheField>
    <cacheField name="Shipping Line" numFmtId="0">
      <sharedItems count="6">
        <s v="Maersk"/>
        <s v="MSC"/>
        <s v="CMA CGM"/>
        <s v="Hapag-Lloyd"/>
        <s v="Evergreen"/>
        <s v="ONE"/>
      </sharedItems>
    </cacheField>
    <cacheField name="Container No." numFmtId="0">
      <sharedItems/>
    </cacheField>
    <cacheField name="ETD" numFmtId="0">
      <sharedItems count="74">
        <s v="2026-07-25"/>
        <s v="2026-07-27"/>
        <s v="2026-07-29"/>
        <s v="2026-07-31"/>
        <s v="2026-08-02"/>
        <s v="2026-08-04"/>
        <s v="2026-08-06"/>
        <s v="2026-08-08"/>
        <s v="2026-08-10"/>
        <s v="2026-08-12"/>
        <s v="2026-08-14"/>
        <s v="2026-08-16"/>
        <s v="2026-08-18"/>
        <s v="2026-08-20"/>
        <s v="2026-08-22"/>
        <s v="2026-08-24"/>
        <s v="2026-08-26"/>
        <s v="2026-08-28"/>
        <s v="2026-08-30"/>
        <s v="2026-09-01"/>
        <s v="2026-09-03"/>
        <s v="2026-09-05"/>
        <s v="2026-09-07"/>
        <s v="2026-09-09"/>
        <s v="2026-09-11"/>
        <s v="2026-09-13"/>
        <s v="2026-09-15"/>
        <s v="2026-09-17"/>
        <s v="2026-09-19"/>
        <s v="2026-09-21"/>
        <s v="2026-09-23"/>
        <s v="2026-09-25"/>
        <s v="2026-09-27"/>
        <s v="2026-09-29"/>
        <s v="2026-10-01"/>
        <s v="2026-10-03"/>
        <s v="2026-10-05"/>
        <s v="2026-10-07"/>
        <s v="2026-10-09"/>
        <s v="2026-10-11"/>
        <s v="Formula1" f="1"/>
        <s v="Formula2" f="1"/>
        <s v="Formula3" f="1"/>
        <s v="Formula4" f="1"/>
        <s v="Formula5" f="1"/>
        <s v="Formula6" f="1"/>
        <s v="Formula7" f="1"/>
        <s v="Formula8" f="1"/>
        <s v="Formula9" f="1"/>
        <s v="Formula10" f="1"/>
        <s v="Formula11" f="1"/>
        <s v="Formula12" f="1"/>
        <s v="Formula13" f="1"/>
        <s v="Formula14" f="1"/>
        <s v="Formula15" f="1"/>
        <s v="Formula16" f="1"/>
        <s v="Formula17" f="1"/>
        <s v="Formula18" f="1"/>
        <s v="Formula19" f="1"/>
        <s v="Formula20" f="1"/>
        <s v="Formula21" f="1"/>
        <s v="Formula22" f="1"/>
        <s v="Formula23" f="1"/>
        <s v="Formula24" f="1"/>
        <s v="Formula25" f="1"/>
        <s v="Formula26" f="1"/>
        <s v="Formula27" f="1"/>
        <s v="Formula28" f="1"/>
        <s v="Formula29" f="1"/>
        <s v="Formula30" f="1"/>
        <s v="Formula31" f="1"/>
        <s v="Formula32" f="1"/>
        <s v="Formula33" f="1"/>
        <s v="Formula34" f="1"/>
      </sharedItems>
      <fieldGroup par="16"/>
    </cacheField>
    <cacheField name="ETA" numFmtId="0">
      <sharedItems/>
    </cacheField>
    <cacheField name="Shipment Status" numFmtId="0">
      <sharedItems count="5">
        <s v="Booked"/>
        <s v="In Transit"/>
        <s v="Delivered"/>
        <s v="At Port"/>
        <s v="Customs Clearance"/>
      </sharedItems>
    </cacheField>
    <cacheField name="Freight Cost" numFmtId="0">
      <sharedItems containsSemiMixedTypes="0" containsString="0" containsNumber="1" containsInteger="1" minValue="2558" maxValue="5375"/>
    </cacheField>
    <cacheField name="Customs Status" numFmtId="0">
      <sharedItems/>
    </cacheField>
    <cacheField name="Payment Status" numFmtId="0">
      <sharedItems count="3">
        <s v="Pending"/>
        <s v="Partial"/>
        <s v="Paid"/>
      </sharedItems>
    </cacheField>
    <cacheField name="Transit Days" numFmtId="0">
      <sharedItems containsSemiMixedTypes="0" containsString="0" containsNumber="1" containsInteger="1" minValue="21" maxValue="21"/>
    </cacheField>
    <cacheField name="month" numFmtId="0">
      <sharedItems count="4">
        <s v="Jul"/>
        <s v="Aug"/>
        <s v="Sep"/>
        <s v="Oct"/>
      </sharedItems>
    </cacheField>
    <cacheField name="ETD2" numFmtId="0" databaseField="0">
      <fieldGroup base="8">
        <discretePr count="74">
          <x v="0"/>
          <x v="1"/>
          <x v="42"/>
          <x v="42"/>
          <x v="42"/>
          <x v="42"/>
          <x v="2"/>
          <x v="3"/>
          <x v="4"/>
          <x v="5"/>
          <x v="6"/>
          <x v="7"/>
          <x v="8"/>
          <x v="9"/>
          <x v="10"/>
          <x v="11"/>
          <x v="12"/>
          <x v="13"/>
          <x v="14"/>
          <x v="15"/>
          <x v="16"/>
          <x v="17"/>
          <x v="18"/>
          <x v="19"/>
          <x v="20"/>
          <x v="21"/>
          <x v="22"/>
          <x v="23"/>
          <x v="24"/>
          <x v="25"/>
          <x v="26"/>
          <x v="27"/>
          <x v="28"/>
          <x v="29"/>
          <x v="30"/>
          <x v="31"/>
          <x v="32"/>
          <x v="33"/>
          <x v="34"/>
          <x v="35"/>
          <x v="42"/>
          <x v="42"/>
          <x v="42"/>
          <x v="42"/>
          <x v="42"/>
          <x v="42"/>
          <x v="42"/>
          <x v="42"/>
          <x v="42"/>
          <x v="42"/>
          <x v="42"/>
          <x v="42"/>
          <x v="42"/>
          <x v="42"/>
          <x v="42"/>
          <x v="42"/>
          <x v="42"/>
          <x v="42"/>
          <x v="42"/>
          <x v="42"/>
          <x v="42"/>
          <x v="42"/>
          <x v="42"/>
          <x v="42"/>
          <x v="42"/>
          <x v="42"/>
          <x v="42"/>
          <x v="42"/>
          <x v="36"/>
          <x v="37"/>
          <x v="38"/>
          <x v="39"/>
          <x v="40"/>
          <x v="41"/>
        </discretePr>
        <groupItems count="43">
          <s v="2026-07-25"/>
          <s v="2026-07-27"/>
          <s v="2026-08-06"/>
          <s v="2026-08-08"/>
          <s v="2026-08-10"/>
          <s v="2026-08-12"/>
          <s v="2026-08-14"/>
          <s v="2026-08-16"/>
          <s v="2026-08-18"/>
          <s v="2026-08-20"/>
          <s v="2026-08-22"/>
          <s v="2026-08-24"/>
          <s v="2026-08-26"/>
          <s v="2026-08-28"/>
          <s v="2026-08-30"/>
          <s v="2026-09-01"/>
          <s v="2026-09-03"/>
          <s v="2026-09-05"/>
          <s v="2026-09-07"/>
          <s v="2026-09-09"/>
          <s v="2026-09-11"/>
          <s v="2026-09-13"/>
          <s v="2026-09-15"/>
          <s v="2026-09-17"/>
          <s v="2026-09-19"/>
          <s v="2026-09-21"/>
          <s v="2026-09-23"/>
          <s v="2026-09-25"/>
          <s v="2026-09-27"/>
          <s v="2026-09-29"/>
          <s v="2026-10-01"/>
          <s v="2026-10-03"/>
          <s v="2026-10-05"/>
          <s v="2026-10-07"/>
          <s v="2026-10-09"/>
          <s v="2026-10-11"/>
          <s v="Formula29"/>
          <s v="Formula30"/>
          <s v="Formula31"/>
          <s v="Formula32"/>
          <s v="Formula33"/>
          <s v="Formula34"/>
          <s v="Group1"/>
        </groupItems>
      </fieldGroup>
    </cacheField>
  </cacheFields>
  <calculatedItems count="34">
    <calculatedItem>
      <pivotArea cacheIndex="1" outline="0" fieldPosition="0">
        <references count="1">
          <reference field="8" count="1">
            <x v="40"/>
          </reference>
        </references>
      </pivotArea>
    </calculatedItem>
    <calculatedItem>
      <pivotArea cacheIndex="1" outline="0" fieldPosition="0">
        <references count="1">
          <reference field="8" count="1">
            <x v="41"/>
          </reference>
        </references>
      </pivotArea>
    </calculatedItem>
    <calculatedItem>
      <pivotArea cacheIndex="1" outline="0" fieldPosition="0">
        <references count="1">
          <reference field="8" count="1">
            <x v="42"/>
          </reference>
        </references>
      </pivotArea>
    </calculatedItem>
    <calculatedItem>
      <pivotArea cacheIndex="1" outline="0" fieldPosition="0">
        <references count="1">
          <reference field="8" count="1">
            <x v="43"/>
          </reference>
        </references>
      </pivotArea>
    </calculatedItem>
    <calculatedItem>
      <pivotArea cacheIndex="1" outline="0" fieldPosition="0">
        <references count="1">
          <reference field="8" count="1">
            <x v="44"/>
          </reference>
        </references>
      </pivotArea>
    </calculatedItem>
    <calculatedItem>
      <pivotArea cacheIndex="1" outline="0" fieldPosition="0">
        <references count="1">
          <reference field="8" count="1">
            <x v="45"/>
          </reference>
        </references>
      </pivotArea>
    </calculatedItem>
    <calculatedItem>
      <pivotArea cacheIndex="1" outline="0" fieldPosition="0">
        <references count="1">
          <reference field="8" count="1">
            <x v="46"/>
          </reference>
        </references>
      </pivotArea>
    </calculatedItem>
    <calculatedItem>
      <pivotArea cacheIndex="1" outline="0" fieldPosition="0">
        <references count="1">
          <reference field="8" count="1">
            <x v="47"/>
          </reference>
        </references>
      </pivotArea>
    </calculatedItem>
    <calculatedItem>
      <pivotArea cacheIndex="1" outline="0" fieldPosition="0">
        <references count="1">
          <reference field="8" count="1">
            <x v="48"/>
          </reference>
        </references>
      </pivotArea>
    </calculatedItem>
    <calculatedItem>
      <pivotArea cacheIndex="1" outline="0" fieldPosition="0">
        <references count="1">
          <reference field="8" count="1">
            <x v="49"/>
          </reference>
        </references>
      </pivotArea>
    </calculatedItem>
    <calculatedItem>
      <pivotArea cacheIndex="1" outline="0" fieldPosition="0">
        <references count="1">
          <reference field="8" count="1">
            <x v="50"/>
          </reference>
        </references>
      </pivotArea>
    </calculatedItem>
    <calculatedItem>
      <pivotArea cacheIndex="1" outline="0" fieldPosition="0">
        <references count="1">
          <reference field="8" count="1">
            <x v="51"/>
          </reference>
        </references>
      </pivotArea>
    </calculatedItem>
    <calculatedItem>
      <pivotArea cacheIndex="1" outline="0" fieldPosition="0">
        <references count="1">
          <reference field="8" count="1">
            <x v="52"/>
          </reference>
        </references>
      </pivotArea>
    </calculatedItem>
    <calculatedItem>
      <pivotArea cacheIndex="1" outline="0" fieldPosition="0">
        <references count="1">
          <reference field="8" count="1">
            <x v="53"/>
          </reference>
        </references>
      </pivotArea>
    </calculatedItem>
    <calculatedItem>
      <pivotArea cacheIndex="1" outline="0" fieldPosition="0">
        <references count="1">
          <reference field="8" count="1">
            <x v="54"/>
          </reference>
        </references>
      </pivotArea>
    </calculatedItem>
    <calculatedItem>
      <pivotArea cacheIndex="1" outline="0" fieldPosition="0">
        <references count="1">
          <reference field="8" count="1">
            <x v="55"/>
          </reference>
        </references>
      </pivotArea>
    </calculatedItem>
    <calculatedItem>
      <pivotArea cacheIndex="1" outline="0" fieldPosition="0">
        <references count="1">
          <reference field="8" count="1">
            <x v="56"/>
          </reference>
        </references>
      </pivotArea>
    </calculatedItem>
    <calculatedItem>
      <pivotArea cacheIndex="1" outline="0" fieldPosition="0">
        <references count="1">
          <reference field="8" count="1">
            <x v="57"/>
          </reference>
        </references>
      </pivotArea>
    </calculatedItem>
    <calculatedItem>
      <pivotArea cacheIndex="1" outline="0" fieldPosition="0">
        <references count="1">
          <reference field="8" count="1">
            <x v="58"/>
          </reference>
        </references>
      </pivotArea>
    </calculatedItem>
    <calculatedItem>
      <pivotArea cacheIndex="1" outline="0" fieldPosition="0">
        <references count="1">
          <reference field="8" count="1">
            <x v="59"/>
          </reference>
        </references>
      </pivotArea>
    </calculatedItem>
    <calculatedItem>
      <pivotArea cacheIndex="1" outline="0" fieldPosition="0">
        <references count="1">
          <reference field="8" count="1">
            <x v="60"/>
          </reference>
        </references>
      </pivotArea>
    </calculatedItem>
    <calculatedItem>
      <pivotArea cacheIndex="1" outline="0" fieldPosition="0">
        <references count="1">
          <reference field="8" count="1">
            <x v="61"/>
          </reference>
        </references>
      </pivotArea>
    </calculatedItem>
    <calculatedItem>
      <pivotArea cacheIndex="1" outline="0" fieldPosition="0">
        <references count="1">
          <reference field="8" count="1">
            <x v="62"/>
          </reference>
        </references>
      </pivotArea>
    </calculatedItem>
    <calculatedItem>
      <pivotArea cacheIndex="1" outline="0" fieldPosition="0">
        <references count="1">
          <reference field="8" count="1">
            <x v="63"/>
          </reference>
        </references>
      </pivotArea>
    </calculatedItem>
    <calculatedItem>
      <pivotArea cacheIndex="1" outline="0" fieldPosition="0">
        <references count="1">
          <reference field="8" count="1">
            <x v="64"/>
          </reference>
        </references>
      </pivotArea>
    </calculatedItem>
    <calculatedItem>
      <pivotArea cacheIndex="1" outline="0" fieldPosition="0">
        <references count="1">
          <reference field="8" count="1">
            <x v="65"/>
          </reference>
        </references>
      </pivotArea>
    </calculatedItem>
    <calculatedItem>
      <pivotArea cacheIndex="1" outline="0" fieldPosition="0">
        <references count="1">
          <reference field="8" count="1">
            <x v="66"/>
          </reference>
        </references>
      </pivotArea>
    </calculatedItem>
    <calculatedItem>
      <pivotArea cacheIndex="1" outline="0" fieldPosition="0">
        <references count="1">
          <reference field="8" count="1">
            <x v="67"/>
          </reference>
        </references>
      </pivotArea>
    </calculatedItem>
    <calculatedItem>
      <pivotArea cacheIndex="1" outline="0" fieldPosition="0">
        <references count="1">
          <reference field="8" count="1">
            <x v="68"/>
          </reference>
        </references>
      </pivotArea>
    </calculatedItem>
    <calculatedItem>
      <pivotArea cacheIndex="1" outline="0" fieldPosition="0">
        <references count="1">
          <reference field="8" count="1">
            <x v="69"/>
          </reference>
        </references>
      </pivotArea>
    </calculatedItem>
    <calculatedItem>
      <pivotArea cacheIndex="1" outline="0" fieldPosition="0">
        <references count="1">
          <reference field="8" count="1">
            <x v="70"/>
          </reference>
        </references>
      </pivotArea>
    </calculatedItem>
    <calculatedItem>
      <pivotArea cacheIndex="1" outline="0" fieldPosition="0">
        <references count="1">
          <reference field="8" count="1">
            <x v="71"/>
          </reference>
        </references>
      </pivotArea>
    </calculatedItem>
    <calculatedItem>
      <pivotArea cacheIndex="1" outline="0" fieldPosition="0">
        <references count="1">
          <reference field="8" count="1">
            <x v="72"/>
          </reference>
        </references>
      </pivotArea>
    </calculatedItem>
    <calculatedItem>
      <pivotArea cacheIndex="1" outline="0" fieldPosition="0">
        <references count="1">
          <reference field="8" count="1">
            <x v="73"/>
          </reference>
        </references>
      </pivotArea>
    </calculatedItem>
  </calculatedItems>
  <extLst>
    <ext xmlns:x14="http://schemas.microsoft.com/office/spreadsheetml/2009/9/main" uri="{725AE2AE-9491-48be-B2B4-4EB974FC3084}">
      <x14:pivotCacheDefinition pivotCacheId="20585455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s v="Tata Steel"/>
    <s v="Tesco"/>
    <s v="India"/>
    <s v="United Kingdom"/>
    <s v="FOB"/>
    <x v="0"/>
    <s v="CONT100000"/>
    <x v="0"/>
    <s v="2026-08-15"/>
    <x v="0"/>
    <n v="3376"/>
    <s v="Pending"/>
    <x v="0"/>
    <n v="21"/>
    <x v="0"/>
  </r>
  <r>
    <x v="1"/>
    <s v="Reliance Industries"/>
    <s v="Boots"/>
    <s v="India"/>
    <s v="United Kingdom"/>
    <s v="CIF"/>
    <x v="1"/>
    <s v="CONT100001"/>
    <x v="1"/>
    <s v="2026-08-17"/>
    <x v="1"/>
    <n v="3157"/>
    <s v="Cleared"/>
    <x v="1"/>
    <n v="21"/>
    <x v="0"/>
  </r>
  <r>
    <x v="2"/>
    <s v="Mahindra &amp; Mahindra"/>
    <s v="Jaguar Land Rover"/>
    <s v="India"/>
    <s v="United Kingdom"/>
    <s v="FCA"/>
    <x v="2"/>
    <s v="CONT100002"/>
    <x v="2"/>
    <s v="2026-08-19"/>
    <x v="2"/>
    <n v="5375"/>
    <s v="Cleared"/>
    <x v="2"/>
    <n v="21"/>
    <x v="0"/>
  </r>
  <r>
    <x v="3"/>
    <s v="Sun Pharma"/>
    <s v="B&amp;Q"/>
    <s v="India"/>
    <s v="United Kingdom"/>
    <s v="DAP"/>
    <x v="3"/>
    <s v="CONT100003"/>
    <x v="3"/>
    <s v="2026-08-21"/>
    <x v="3"/>
    <n v="2711"/>
    <s v="Pending"/>
    <x v="0"/>
    <n v="21"/>
    <x v="0"/>
  </r>
  <r>
    <x v="4"/>
    <s v="Infosys"/>
    <s v="IKEA UK"/>
    <s v="India"/>
    <s v="United Kingdom"/>
    <s v="CPT"/>
    <x v="4"/>
    <s v="CONT100004"/>
    <x v="4"/>
    <s v="2026-08-23"/>
    <x v="4"/>
    <n v="2581"/>
    <s v="Cleared"/>
    <x v="1"/>
    <n v="21"/>
    <x v="1"/>
  </r>
  <r>
    <x v="5"/>
    <s v="Asian Paints"/>
    <s v="Sainsbury's"/>
    <s v="India"/>
    <s v="United Kingdom"/>
    <s v="DDP"/>
    <x v="5"/>
    <s v="CONT100005"/>
    <x v="5"/>
    <s v="2026-08-25"/>
    <x v="0"/>
    <n v="3639"/>
    <s v="Cleared"/>
    <x v="2"/>
    <n v="21"/>
    <x v="1"/>
  </r>
  <r>
    <x v="6"/>
    <s v="Godrej"/>
    <s v="Homebase"/>
    <s v="India"/>
    <s v="United Kingdom"/>
    <s v="EXW"/>
    <x v="0"/>
    <s v="CONT100006"/>
    <x v="6"/>
    <s v="2026-08-27"/>
    <x v="1"/>
    <n v="3098"/>
    <s v="Pending"/>
    <x v="0"/>
    <n v="21"/>
    <x v="1"/>
  </r>
  <r>
    <x v="7"/>
    <s v="ITC Ltd"/>
    <s v="Next"/>
    <s v="India"/>
    <s v="United Kingdom"/>
    <s v="CIP"/>
    <x v="1"/>
    <s v="CONT100007"/>
    <x v="7"/>
    <s v="2026-08-29"/>
    <x v="2"/>
    <n v="2657"/>
    <s v="Cleared"/>
    <x v="1"/>
    <n v="21"/>
    <x v="1"/>
  </r>
  <r>
    <x v="8"/>
    <s v="Dabur India"/>
    <s v="BP UK"/>
    <s v="India"/>
    <s v="United Kingdom"/>
    <s v="FOB"/>
    <x v="2"/>
    <s v="CONT100008"/>
    <x v="8"/>
    <s v="2026-08-31"/>
    <x v="3"/>
    <n v="3921"/>
    <s v="Cleared"/>
    <x v="2"/>
    <n v="21"/>
    <x v="1"/>
  </r>
  <r>
    <x v="9"/>
    <s v="Pidilite"/>
    <s v="Volvo UK"/>
    <s v="India"/>
    <s v="United Kingdom"/>
    <s v="CIF"/>
    <x v="3"/>
    <s v="CONT100009"/>
    <x v="9"/>
    <s v="2026-09-02"/>
    <x v="4"/>
    <n v="5101"/>
    <s v="Pending"/>
    <x v="0"/>
    <n v="21"/>
    <x v="1"/>
  </r>
  <r>
    <x v="10"/>
    <s v="Tata Steel"/>
    <s v="Tesco"/>
    <s v="India"/>
    <s v="United Kingdom"/>
    <s v="FCA"/>
    <x v="4"/>
    <s v="CONT100010"/>
    <x v="10"/>
    <s v="2026-09-04"/>
    <x v="0"/>
    <n v="4733"/>
    <s v="Cleared"/>
    <x v="1"/>
    <n v="21"/>
    <x v="1"/>
  </r>
  <r>
    <x v="11"/>
    <s v="Reliance Industries"/>
    <s v="Boots"/>
    <s v="India"/>
    <s v="United Kingdom"/>
    <s v="DAP"/>
    <x v="5"/>
    <s v="CONT100011"/>
    <x v="11"/>
    <s v="2026-09-06"/>
    <x v="1"/>
    <n v="3014"/>
    <s v="Cleared"/>
    <x v="2"/>
    <n v="21"/>
    <x v="1"/>
  </r>
  <r>
    <x v="12"/>
    <s v="Mahindra &amp; Mahindra"/>
    <s v="Jaguar Land Rover"/>
    <s v="India"/>
    <s v="United Kingdom"/>
    <s v="CPT"/>
    <x v="0"/>
    <s v="CONT100012"/>
    <x v="12"/>
    <s v="2026-09-08"/>
    <x v="2"/>
    <n v="3561"/>
    <s v="Pending"/>
    <x v="0"/>
    <n v="21"/>
    <x v="1"/>
  </r>
  <r>
    <x v="13"/>
    <s v="Sun Pharma"/>
    <s v="B&amp;Q"/>
    <s v="India"/>
    <s v="United Kingdom"/>
    <s v="DDP"/>
    <x v="1"/>
    <s v="CONT100013"/>
    <x v="13"/>
    <s v="2026-09-10"/>
    <x v="3"/>
    <n v="3063"/>
    <s v="Cleared"/>
    <x v="1"/>
    <n v="21"/>
    <x v="1"/>
  </r>
  <r>
    <x v="14"/>
    <s v="Infosys"/>
    <s v="IKEA UK"/>
    <s v="India"/>
    <s v="United Kingdom"/>
    <s v="EXW"/>
    <x v="2"/>
    <s v="CONT100014"/>
    <x v="14"/>
    <s v="2026-09-12"/>
    <x v="4"/>
    <n v="5215"/>
    <s v="Cleared"/>
    <x v="2"/>
    <n v="21"/>
    <x v="1"/>
  </r>
  <r>
    <x v="15"/>
    <s v="Asian Paints"/>
    <s v="Sainsbury's"/>
    <s v="India"/>
    <s v="United Kingdom"/>
    <s v="CIP"/>
    <x v="3"/>
    <s v="CONT100015"/>
    <x v="15"/>
    <s v="2026-09-14"/>
    <x v="0"/>
    <n v="3447"/>
    <s v="Pending"/>
    <x v="0"/>
    <n v="21"/>
    <x v="1"/>
  </r>
  <r>
    <x v="16"/>
    <s v="Godrej"/>
    <s v="Homebase"/>
    <s v="India"/>
    <s v="United Kingdom"/>
    <s v="FOB"/>
    <x v="4"/>
    <s v="CONT100016"/>
    <x v="16"/>
    <s v="2026-09-16"/>
    <x v="1"/>
    <n v="4581"/>
    <s v="Cleared"/>
    <x v="1"/>
    <n v="21"/>
    <x v="1"/>
  </r>
  <r>
    <x v="17"/>
    <s v="ITC Ltd"/>
    <s v="Next"/>
    <s v="India"/>
    <s v="United Kingdom"/>
    <s v="CIF"/>
    <x v="5"/>
    <s v="CONT100017"/>
    <x v="17"/>
    <s v="2026-09-18"/>
    <x v="2"/>
    <n v="5073"/>
    <s v="Cleared"/>
    <x v="2"/>
    <n v="21"/>
    <x v="1"/>
  </r>
  <r>
    <x v="18"/>
    <s v="Dabur India"/>
    <s v="BP UK"/>
    <s v="India"/>
    <s v="United Kingdom"/>
    <s v="FCA"/>
    <x v="0"/>
    <s v="CONT100018"/>
    <x v="18"/>
    <s v="2026-09-20"/>
    <x v="3"/>
    <n v="3353"/>
    <s v="Pending"/>
    <x v="0"/>
    <n v="21"/>
    <x v="1"/>
  </r>
  <r>
    <x v="19"/>
    <s v="Pidilite"/>
    <s v="Volvo UK"/>
    <s v="India"/>
    <s v="United Kingdom"/>
    <s v="DAP"/>
    <x v="1"/>
    <s v="CONT100019"/>
    <x v="19"/>
    <s v="2026-09-22"/>
    <x v="4"/>
    <n v="2639"/>
    <s v="Cleared"/>
    <x v="1"/>
    <n v="21"/>
    <x v="2"/>
  </r>
  <r>
    <x v="20"/>
    <s v="Tata Steel"/>
    <s v="Tesco"/>
    <s v="India"/>
    <s v="United Kingdom"/>
    <s v="CPT"/>
    <x v="2"/>
    <s v="CONT100020"/>
    <x v="20"/>
    <s v="2026-09-24"/>
    <x v="0"/>
    <n v="4583"/>
    <s v="Cleared"/>
    <x v="2"/>
    <n v="21"/>
    <x v="2"/>
  </r>
  <r>
    <x v="21"/>
    <s v="Reliance Industries"/>
    <s v="Boots"/>
    <s v="India"/>
    <s v="United Kingdom"/>
    <s v="DDP"/>
    <x v="3"/>
    <s v="CONT100021"/>
    <x v="21"/>
    <s v="2026-09-26"/>
    <x v="1"/>
    <n v="3426"/>
    <s v="Pending"/>
    <x v="0"/>
    <n v="21"/>
    <x v="2"/>
  </r>
  <r>
    <x v="22"/>
    <s v="Mahindra &amp; Mahindra"/>
    <s v="Jaguar Land Rover"/>
    <s v="India"/>
    <s v="United Kingdom"/>
    <s v="EXW"/>
    <x v="4"/>
    <s v="CONT100022"/>
    <x v="22"/>
    <s v="2026-09-28"/>
    <x v="2"/>
    <n v="5321"/>
    <s v="Cleared"/>
    <x v="1"/>
    <n v="21"/>
    <x v="2"/>
  </r>
  <r>
    <x v="23"/>
    <s v="Sun Pharma"/>
    <s v="B&amp;Q"/>
    <s v="India"/>
    <s v="United Kingdom"/>
    <s v="CIP"/>
    <x v="5"/>
    <s v="CONT100023"/>
    <x v="23"/>
    <s v="2026-09-30"/>
    <x v="3"/>
    <n v="3452"/>
    <s v="Cleared"/>
    <x v="2"/>
    <n v="21"/>
    <x v="2"/>
  </r>
  <r>
    <x v="24"/>
    <s v="Infosys"/>
    <s v="IKEA UK"/>
    <s v="India"/>
    <s v="United Kingdom"/>
    <s v="FOB"/>
    <x v="0"/>
    <s v="CONT100024"/>
    <x v="24"/>
    <s v="2026-10-02"/>
    <x v="4"/>
    <n v="2558"/>
    <s v="Pending"/>
    <x v="0"/>
    <n v="21"/>
    <x v="2"/>
  </r>
  <r>
    <x v="25"/>
    <s v="Asian Paints"/>
    <s v="Sainsbury's"/>
    <s v="India"/>
    <s v="United Kingdom"/>
    <s v="CIF"/>
    <x v="1"/>
    <s v="CONT100025"/>
    <x v="25"/>
    <s v="2026-10-04"/>
    <x v="0"/>
    <n v="3704"/>
    <s v="Cleared"/>
    <x v="1"/>
    <n v="21"/>
    <x v="2"/>
  </r>
  <r>
    <x v="26"/>
    <s v="Godrej"/>
    <s v="Homebase"/>
    <s v="India"/>
    <s v="United Kingdom"/>
    <s v="FCA"/>
    <x v="2"/>
    <s v="CONT100026"/>
    <x v="26"/>
    <s v="2026-10-06"/>
    <x v="1"/>
    <n v="5316"/>
    <s v="Cleared"/>
    <x v="2"/>
    <n v="21"/>
    <x v="2"/>
  </r>
  <r>
    <x v="27"/>
    <s v="ITC Ltd"/>
    <s v="Next"/>
    <s v="India"/>
    <s v="United Kingdom"/>
    <s v="DAP"/>
    <x v="3"/>
    <s v="CONT100027"/>
    <x v="27"/>
    <s v="2026-10-08"/>
    <x v="2"/>
    <n v="3660"/>
    <s v="Pending"/>
    <x v="0"/>
    <n v="21"/>
    <x v="2"/>
  </r>
  <r>
    <x v="28"/>
    <s v="Dabur India"/>
    <s v="BP UK"/>
    <s v="India"/>
    <s v="United Kingdom"/>
    <s v="CPT"/>
    <x v="4"/>
    <s v="CONT100028"/>
    <x v="28"/>
    <s v="2026-10-10"/>
    <x v="3"/>
    <n v="3351"/>
    <s v="Cleared"/>
    <x v="1"/>
    <n v="21"/>
    <x v="2"/>
  </r>
  <r>
    <x v="29"/>
    <s v="Pidilite"/>
    <s v="Volvo UK"/>
    <s v="India"/>
    <s v="United Kingdom"/>
    <s v="DDP"/>
    <x v="5"/>
    <s v="CONT100029"/>
    <x v="29"/>
    <s v="2026-10-12"/>
    <x v="4"/>
    <n v="5370"/>
    <s v="Cleared"/>
    <x v="2"/>
    <n v="21"/>
    <x v="2"/>
  </r>
  <r>
    <x v="30"/>
    <s v="Tata Steel"/>
    <s v="Tesco"/>
    <s v="India"/>
    <s v="United Kingdom"/>
    <s v="EXW"/>
    <x v="0"/>
    <s v="CONT100030"/>
    <x v="30"/>
    <s v="2026-10-14"/>
    <x v="0"/>
    <n v="3848"/>
    <s v="Pending"/>
    <x v="0"/>
    <n v="21"/>
    <x v="2"/>
  </r>
  <r>
    <x v="31"/>
    <s v="Reliance Industries"/>
    <s v="Boots"/>
    <s v="India"/>
    <s v="United Kingdom"/>
    <s v="CIP"/>
    <x v="1"/>
    <s v="CONT100031"/>
    <x v="31"/>
    <s v="2026-10-16"/>
    <x v="1"/>
    <n v="4027"/>
    <s v="Cleared"/>
    <x v="1"/>
    <n v="21"/>
    <x v="2"/>
  </r>
  <r>
    <x v="32"/>
    <s v="Mahindra &amp; Mahindra"/>
    <s v="Jaguar Land Rover"/>
    <s v="India"/>
    <s v="United Kingdom"/>
    <s v="FOB"/>
    <x v="2"/>
    <s v="CONT100032"/>
    <x v="32"/>
    <s v="2026-10-18"/>
    <x v="2"/>
    <n v="3234"/>
    <s v="Cleared"/>
    <x v="2"/>
    <n v="21"/>
    <x v="2"/>
  </r>
  <r>
    <x v="33"/>
    <s v="Sun Pharma"/>
    <s v="B&amp;Q"/>
    <s v="India"/>
    <s v="United Kingdom"/>
    <s v="CIF"/>
    <x v="3"/>
    <s v="CONT100033"/>
    <x v="33"/>
    <s v="2026-10-20"/>
    <x v="3"/>
    <n v="4204"/>
    <s v="Pending"/>
    <x v="0"/>
    <n v="21"/>
    <x v="2"/>
  </r>
  <r>
    <x v="34"/>
    <s v="Infosys"/>
    <s v="IKEA UK"/>
    <s v="India"/>
    <s v="United Kingdom"/>
    <s v="FCA"/>
    <x v="4"/>
    <s v="CONT100034"/>
    <x v="34"/>
    <s v="2026-10-22"/>
    <x v="4"/>
    <n v="3211"/>
    <s v="Cleared"/>
    <x v="1"/>
    <n v="21"/>
    <x v="3"/>
  </r>
  <r>
    <x v="35"/>
    <s v="Asian Paints"/>
    <s v="Sainsbury's"/>
    <s v="India"/>
    <s v="United Kingdom"/>
    <s v="DAP"/>
    <x v="5"/>
    <s v="CONT100035"/>
    <x v="35"/>
    <s v="2026-10-24"/>
    <x v="0"/>
    <n v="5129"/>
    <s v="Cleared"/>
    <x v="2"/>
    <n v="21"/>
    <x v="3"/>
  </r>
  <r>
    <x v="36"/>
    <s v="Godrej"/>
    <s v="Homebase"/>
    <s v="India"/>
    <s v="United Kingdom"/>
    <s v="CPT"/>
    <x v="0"/>
    <s v="CONT100036"/>
    <x v="36"/>
    <s v="2026-10-26"/>
    <x v="1"/>
    <n v="5272"/>
    <s v="Pending"/>
    <x v="0"/>
    <n v="21"/>
    <x v="3"/>
  </r>
  <r>
    <x v="37"/>
    <s v="ITC Ltd"/>
    <s v="Next"/>
    <s v="India"/>
    <s v="United Kingdom"/>
    <s v="DDP"/>
    <x v="1"/>
    <s v="CONT100037"/>
    <x v="37"/>
    <s v="2026-10-28"/>
    <x v="2"/>
    <n v="5270"/>
    <s v="Cleared"/>
    <x v="1"/>
    <n v="21"/>
    <x v="3"/>
  </r>
  <r>
    <x v="38"/>
    <s v="Dabur India"/>
    <s v="BP UK"/>
    <s v="India"/>
    <s v="United Kingdom"/>
    <s v="EXW"/>
    <x v="2"/>
    <s v="CONT100038"/>
    <x v="38"/>
    <s v="2026-10-30"/>
    <x v="3"/>
    <n v="3839"/>
    <s v="Cleared"/>
    <x v="2"/>
    <n v="21"/>
    <x v="3"/>
  </r>
  <r>
    <x v="39"/>
    <s v="Pidilite"/>
    <s v="Volvo UK"/>
    <s v="India"/>
    <s v="United Kingdom"/>
    <s v="CIP"/>
    <x v="3"/>
    <s v="CONT100039"/>
    <x v="39"/>
    <s v="2026-11-01"/>
    <x v="4"/>
    <n v="4854"/>
    <s v="Pending"/>
    <x v="0"/>
    <n v="2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A68A3A-E7A1-2843-9096-015F76026A9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6:E11" firstHeaderRow="1" firstDataRow="1" firstDataCol="1"/>
  <pivotFields count="17">
    <pivotField dataField="1"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showAll="0"/>
    <pivotField showAll="0"/>
    <pivotField showAll="0"/>
    <pivotField showAll="0"/>
    <pivotField showAll="0"/>
    <pivotField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f="1" x="40"/>
        <item f="1" x="49"/>
        <item f="1" x="50"/>
        <item f="1" x="51"/>
        <item f="1" x="52"/>
        <item f="1" x="53"/>
        <item f="1" x="54"/>
        <item f="1" x="55"/>
        <item f="1" x="56"/>
        <item f="1" x="57"/>
        <item f="1" x="58"/>
        <item f="1" x="41"/>
        <item f="1" x="59"/>
        <item f="1" x="60"/>
        <item f="1" x="61"/>
        <item f="1" x="62"/>
        <item f="1" x="63"/>
        <item f="1" x="64"/>
        <item f="1" x="65"/>
        <item f="1" x="66"/>
        <item f="1" x="67"/>
        <item f="1" x="68"/>
        <item f="1" x="42"/>
        <item f="1" x="69"/>
        <item f="1" x="70"/>
        <item f="1" x="71"/>
        <item f="1" x="72"/>
        <item f="1" x="73"/>
        <item f="1" x="43"/>
        <item f="1" x="44"/>
        <item f="1" x="45"/>
        <item f="1" x="46"/>
        <item f="1" x="47"/>
        <item f="1" x="48"/>
        <item t="default"/>
      </items>
    </pivotField>
    <pivotField showAll="0"/>
    <pivotField showAll="0"/>
    <pivotField showAll="0"/>
    <pivotField showAll="0"/>
    <pivotField showAll="0"/>
    <pivotField showAll="0"/>
    <pivotField axis="axisRow" showAll="0">
      <items count="5">
        <item x="0"/>
        <item x="1"/>
        <item x="2"/>
        <item x="3"/>
        <item t="default"/>
      </items>
    </pivotField>
    <pivotField showAll="0" defaultSubtota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s>
  <rowFields count="1">
    <field x="15"/>
  </rowFields>
  <rowItems count="5">
    <i>
      <x/>
    </i>
    <i>
      <x v="1"/>
    </i>
    <i>
      <x v="2"/>
    </i>
    <i>
      <x v="3"/>
    </i>
    <i t="grand">
      <x/>
    </i>
  </rowItems>
  <colItems count="1">
    <i/>
  </colItems>
  <dataFields count="1">
    <dataField name="Count of Shipment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2CC4A3-D2D5-0543-8D33-7CB87145E22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7">
    <pivotField showAll="0"/>
    <pivotField showAll="0"/>
    <pivotField showAll="0"/>
    <pivotField showAll="0"/>
    <pivotField showAll="0"/>
    <pivotField showAll="0"/>
    <pivotField axis="axisRow" showAll="0">
      <items count="7">
        <item x="2"/>
        <item x="4"/>
        <item x="3"/>
        <item x="0"/>
        <item x="1"/>
        <item x="5"/>
        <item t="default"/>
      </items>
    </pivotField>
    <pivotField showAll="0"/>
    <pivotField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f="1" x="40"/>
        <item f="1" x="41"/>
        <item f="1" x="42"/>
        <item f="1" x="43"/>
        <item f="1" x="44"/>
        <item f="1" x="45"/>
        <item f="1" x="46"/>
        <item f="1" x="47"/>
        <item f="1" x="48"/>
        <item f="1" x="49"/>
        <item f="1" x="50"/>
        <item f="1" x="51"/>
        <item f="1" x="52"/>
        <item f="1" x="53"/>
        <item f="1" x="54"/>
        <item f="1" x="55"/>
        <item f="1" x="56"/>
        <item f="1" x="57"/>
        <item f="1" x="58"/>
        <item f="1" x="59"/>
        <item f="1" x="60"/>
        <item f="1" x="61"/>
        <item f="1" x="62"/>
        <item f="1" x="63"/>
        <item f="1" x="64"/>
        <item f="1" x="65"/>
        <item f="1" x="66"/>
        <item f="1" x="67"/>
        <item f="1" x="68"/>
        <item f="1" x="69"/>
        <item f="1" x="70"/>
        <item f="1" x="71"/>
        <item f="1" x="72"/>
        <item f="1" x="73"/>
        <item t="default"/>
      </items>
    </pivotField>
    <pivotField showAll="0"/>
    <pivotField showAll="0"/>
    <pivotField dataField="1" showAll="0"/>
    <pivotField showAll="0"/>
    <pivotField showAll="0"/>
    <pivotField showAll="0"/>
    <pivotField showAll="0"/>
    <pivotField showAll="0">
      <items count="44">
        <item x="0"/>
        <item x="1"/>
        <item x="42"/>
        <item x="36"/>
        <item x="37"/>
        <item x="38"/>
        <item x="39"/>
        <item x="40"/>
        <item x="4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s>
  <rowFields count="1">
    <field x="6"/>
  </rowFields>
  <rowItems count="7">
    <i>
      <x/>
    </i>
    <i>
      <x v="1"/>
    </i>
    <i>
      <x v="2"/>
    </i>
    <i>
      <x v="3"/>
    </i>
    <i>
      <x v="4"/>
    </i>
    <i>
      <x v="5"/>
    </i>
    <i t="grand">
      <x/>
    </i>
  </rowItems>
  <colItems count="1">
    <i/>
  </colItems>
  <dataFields count="1">
    <dataField name="Sum of Freight Cost" fld="11"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69B3AA-43D5-8C43-B7A3-15B497EC6A9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7:G23" firstHeaderRow="1" firstDataRow="1" firstDataCol="1"/>
  <pivotFields count="17">
    <pivotField dataField="1" showAll="0"/>
    <pivotField showAll="0"/>
    <pivotField showAll="0"/>
    <pivotField showAll="0"/>
    <pivotField showAll="0"/>
    <pivotField showAll="0"/>
    <pivotField showAll="0">
      <items count="7">
        <item x="2"/>
        <item x="4"/>
        <item x="3"/>
        <item x="0"/>
        <item x="1"/>
        <item x="5"/>
        <item t="default"/>
      </items>
    </pivotField>
    <pivotField showAll="0"/>
    <pivotField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f="1" x="40"/>
        <item f="1" x="41"/>
        <item f="1" x="42"/>
        <item f="1" x="43"/>
        <item f="1" x="44"/>
        <item f="1" x="45"/>
        <item f="1" x="46"/>
        <item f="1" x="47"/>
        <item f="1" x="48"/>
        <item f="1" x="49"/>
        <item f="1" x="50"/>
        <item f="1" x="51"/>
        <item f="1" x="52"/>
        <item f="1" x="53"/>
        <item f="1" x="54"/>
        <item f="1" x="55"/>
        <item f="1" x="56"/>
        <item f="1" x="57"/>
        <item f="1" x="58"/>
        <item f="1" x="59"/>
        <item f="1" x="60"/>
        <item f="1" x="61"/>
        <item f="1" x="62"/>
        <item f="1" x="63"/>
        <item f="1" x="64"/>
        <item f="1" x="65"/>
        <item f="1" x="66"/>
        <item f="1" x="67"/>
        <item f="1" x="68"/>
        <item f="1" x="69"/>
        <item f="1" x="70"/>
        <item f="1" x="71"/>
        <item f="1" x="72"/>
        <item f="1" x="73"/>
        <item t="default"/>
      </items>
    </pivotField>
    <pivotField showAll="0"/>
    <pivotField axis="axisRow" showAll="0">
      <items count="6">
        <item x="3"/>
        <item x="0"/>
        <item x="4"/>
        <item x="2"/>
        <item x="1"/>
        <item t="default"/>
      </items>
    </pivotField>
    <pivotField showAll="0"/>
    <pivotField showAll="0"/>
    <pivotField showAll="0"/>
    <pivotField showAll="0"/>
    <pivotField showAll="0"/>
    <pivotField showAll="0">
      <items count="44">
        <item x="0"/>
        <item x="1"/>
        <item x="42"/>
        <item x="36"/>
        <item x="37"/>
        <item x="38"/>
        <item x="39"/>
        <item x="40"/>
        <item x="4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s>
  <rowFields count="1">
    <field x="10"/>
  </rowFields>
  <rowItems count="6">
    <i>
      <x/>
    </i>
    <i>
      <x v="1"/>
    </i>
    <i>
      <x v="2"/>
    </i>
    <i>
      <x v="3"/>
    </i>
    <i>
      <x v="4"/>
    </i>
    <i t="grand">
      <x/>
    </i>
  </rowItems>
  <colItems count="1">
    <i/>
  </colItems>
  <dataFields count="1">
    <dataField name="Count of Shipment ID" fld="0" subtotal="count" baseField="0" baseItem="0"/>
  </dataField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1"/>
          </reference>
        </references>
      </pivotArea>
    </chartFormat>
    <chartFormat chart="2" format="4">
      <pivotArea type="data" outline="0" fieldPosition="0">
        <references count="2">
          <reference field="4294967294" count="1" selected="0">
            <x v="0"/>
          </reference>
          <reference field="10" count="1" selected="0">
            <x v="2"/>
          </reference>
        </references>
      </pivotArea>
    </chartFormat>
    <chartFormat chart="2" format="5">
      <pivotArea type="data" outline="0" fieldPosition="0">
        <references count="2">
          <reference field="4294967294" count="1" selected="0">
            <x v="0"/>
          </reference>
          <reference field="10" count="1" selected="0">
            <x v="3"/>
          </reference>
        </references>
      </pivotArea>
    </chartFormat>
    <chartFormat chart="2" format="6">
      <pivotArea type="data" outline="0" fieldPosition="0">
        <references count="2">
          <reference field="4294967294" count="1" selected="0">
            <x v="0"/>
          </reference>
          <reference field="10" count="1" selected="0">
            <x v="4"/>
          </reference>
        </references>
      </pivotArea>
    </chartFormat>
    <chartFormat chart="2" format="7">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69AA29-5EF0-8946-AD73-00F628DC67B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7">
    <pivotField dataField="1" showAll="0"/>
    <pivotField showAll="0"/>
    <pivotField showAll="0"/>
    <pivotField showAll="0"/>
    <pivotField showAll="0"/>
    <pivotField showAll="0"/>
    <pivotField showAll="0">
      <items count="7">
        <item x="2"/>
        <item x="4"/>
        <item x="3"/>
        <item x="0"/>
        <item x="1"/>
        <item x="5"/>
        <item t="default"/>
      </items>
    </pivotField>
    <pivotField showAll="0"/>
    <pivotField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f="1" x="40"/>
        <item f="1" x="49"/>
        <item f="1" x="50"/>
        <item f="1" x="51"/>
        <item f="1" x="52"/>
        <item f="1" x="53"/>
        <item f="1" x="54"/>
        <item f="1" x="55"/>
        <item f="1" x="56"/>
        <item f="1" x="57"/>
        <item f="1" x="58"/>
        <item f="1" x="41"/>
        <item f="1" x="59"/>
        <item f="1" x="60"/>
        <item f="1" x="61"/>
        <item f="1" x="62"/>
        <item f="1" x="63"/>
        <item f="1" x="64"/>
        <item f="1" x="65"/>
        <item f="1" x="66"/>
        <item f="1" x="67"/>
        <item f="1" x="68"/>
        <item f="1" x="42"/>
        <item f="1" x="69"/>
        <item f="1" x="70"/>
        <item f="1" x="71"/>
        <item f="1" x="72"/>
        <item f="1" x="73"/>
        <item f="1" x="43"/>
        <item f="1" x="44"/>
        <item f="1" x="45"/>
        <item f="1" x="46"/>
        <item f="1" x="47"/>
        <item f="1" x="48"/>
        <item t="default"/>
      </items>
    </pivotField>
    <pivotField showAll="0"/>
    <pivotField showAll="0"/>
    <pivotField showAll="0"/>
    <pivotField showAll="0"/>
    <pivotField axis="axisRow" showAll="0">
      <items count="4">
        <item x="2"/>
        <item x="1"/>
        <item x="0"/>
        <item t="default"/>
      </items>
    </pivotField>
    <pivotField showAll="0"/>
    <pivotField showAll="0"/>
    <pivotField showAll="0" defaultSubtota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s>
  <rowFields count="1">
    <field x="13"/>
  </rowFields>
  <rowItems count="4">
    <i>
      <x/>
    </i>
    <i>
      <x v="1"/>
    </i>
    <i>
      <x v="2"/>
    </i>
    <i t="grand">
      <x/>
    </i>
  </rowItems>
  <colItems count="1">
    <i/>
  </colItems>
  <dataFields count="1">
    <dataField name="Count of Shipment ID" fld="0" subtotal="count" baseField="0" baseItem="0"/>
  </dataFields>
  <chartFormats count="3">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Line" xr10:uid="{9C37AA92-B12C-8941-9DBB-5E0582D40E3F}" sourceName="Shipping Line">
  <pivotTables>
    <pivotTable tabId="5" name="PivotTable2"/>
    <pivotTable tabId="5" name="PivotTable1"/>
  </pivotTables>
  <data>
    <tabular pivotCacheId="2058545514">
      <items count="6">
        <i x="2" s="1"/>
        <i x="4" s="1"/>
        <i x="3" s="1"/>
        <i x="0"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ent_Status" xr10:uid="{7D48961F-C483-F443-A290-DE32E7E8A5E2}" sourceName="Shipment Status">
  <pivotTables>
    <pivotTable tabId="5" name="PivotTable1"/>
  </pivotTables>
  <data>
    <tabular pivotCacheId="2058545514">
      <items count="5">
        <i x="3" s="1"/>
        <i x="0"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ping Line" xr10:uid="{0DCD9761-C6CD-614A-81C8-B71888D51334}" cache="Slicer_Shipping_Line" caption="Shipping Line" style="SlicerStyleOther2" rowHeight="230716"/>
  <slicer name="Shipment Status" xr10:uid="{3A8383D6-562A-9045-AA29-B26934BF4A3E}" cache="Slicer_Shipment_Status" caption="Shipment Status"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hipmentsTable" displayName="ShipmentsTable" ref="A1:P41">
  <autoFilter ref="A1:P41" xr:uid="{00000000-0009-0000-0100-000001000000}"/>
  <tableColumns count="16">
    <tableColumn id="1" xr3:uid="{00000000-0010-0000-0000-000001000000}" name="Shipment ID"/>
    <tableColumn id="2" xr3:uid="{00000000-0010-0000-0000-000002000000}" name="Exporter"/>
    <tableColumn id="3" xr3:uid="{00000000-0010-0000-0000-000003000000}" name="Importer"/>
    <tableColumn id="4" xr3:uid="{00000000-0010-0000-0000-000004000000}" name="Origin Country"/>
    <tableColumn id="5" xr3:uid="{00000000-0010-0000-0000-000005000000}" name="Destination Country"/>
    <tableColumn id="6" xr3:uid="{00000000-0010-0000-0000-000006000000}" name="Incoterm"/>
    <tableColumn id="7" xr3:uid="{00000000-0010-0000-0000-000007000000}" name="Shipping Line"/>
    <tableColumn id="8" xr3:uid="{00000000-0010-0000-0000-000008000000}" name="Container No."/>
    <tableColumn id="9" xr3:uid="{00000000-0010-0000-0000-000009000000}" name="ETD"/>
    <tableColumn id="10" xr3:uid="{00000000-0010-0000-0000-00000A000000}" name="ETA"/>
    <tableColumn id="11" xr3:uid="{00000000-0010-0000-0000-00000B000000}" name="Shipment Status"/>
    <tableColumn id="12" xr3:uid="{00000000-0010-0000-0000-00000C000000}" name="Freight Cost"/>
    <tableColumn id="13" xr3:uid="{00000000-0010-0000-0000-00000D000000}" name="Customs Status"/>
    <tableColumn id="14" xr3:uid="{00000000-0010-0000-0000-00000E000000}" name="Payment Status"/>
    <tableColumn id="15" xr3:uid="{00000000-0010-0000-0000-00000F000000}" name="Transit Days"/>
    <tableColumn id="16" xr3:uid="{624A44C4-E457-E54E-921A-2E24F410D158}" name="month" dataDxfId="0">
      <calculatedColumnFormula>TEXT(I2,"mmm")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D39D2-D274-9F46-A021-78856B4D27B1}">
  <dimension ref="A3:G23"/>
  <sheetViews>
    <sheetView workbookViewId="0">
      <selection activeCell="F17" sqref="F17:G23"/>
    </sheetView>
  </sheetViews>
  <sheetFormatPr baseColWidth="10" defaultRowHeight="15" x14ac:dyDescent="0.2"/>
  <cols>
    <col min="1" max="1" width="12.1640625" bestFit="1" customWidth="1"/>
    <col min="2" max="2" width="15.83203125" bestFit="1" customWidth="1"/>
    <col min="6" max="6" width="15.33203125" bestFit="1" customWidth="1"/>
    <col min="7" max="7" width="17.6640625" bestFit="1" customWidth="1"/>
  </cols>
  <sheetData>
    <row r="3" spans="1:5" x14ac:dyDescent="0.2">
      <c r="A3" s="2" t="s">
        <v>223</v>
      </c>
      <c r="B3" t="s">
        <v>226</v>
      </c>
    </row>
    <row r="4" spans="1:5" x14ac:dyDescent="0.2">
      <c r="A4" s="3" t="s">
        <v>42</v>
      </c>
      <c r="B4">
        <v>31483</v>
      </c>
    </row>
    <row r="5" spans="1:5" x14ac:dyDescent="0.2">
      <c r="A5" s="3" t="s">
        <v>61</v>
      </c>
      <c r="B5">
        <v>23778</v>
      </c>
    </row>
    <row r="6" spans="1:5" x14ac:dyDescent="0.2">
      <c r="A6" s="3" t="s">
        <v>52</v>
      </c>
      <c r="B6">
        <v>27403</v>
      </c>
      <c r="D6" s="2" t="s">
        <v>223</v>
      </c>
      <c r="E6" t="s">
        <v>225</v>
      </c>
    </row>
    <row r="7" spans="1:5" x14ac:dyDescent="0.2">
      <c r="A7" s="3" t="s">
        <v>21</v>
      </c>
      <c r="B7">
        <v>25066</v>
      </c>
      <c r="D7" s="3" t="s">
        <v>228</v>
      </c>
      <c r="E7">
        <v>4</v>
      </c>
    </row>
    <row r="8" spans="1:5" x14ac:dyDescent="0.2">
      <c r="A8" s="3" t="s">
        <v>31</v>
      </c>
      <c r="B8">
        <v>24517</v>
      </c>
      <c r="D8" s="3" t="s">
        <v>229</v>
      </c>
      <c r="E8">
        <v>15</v>
      </c>
    </row>
    <row r="9" spans="1:5" x14ac:dyDescent="0.2">
      <c r="A9" s="3" t="s">
        <v>70</v>
      </c>
      <c r="B9">
        <v>25677</v>
      </c>
      <c r="D9" s="3" t="s">
        <v>230</v>
      </c>
      <c r="E9">
        <v>15</v>
      </c>
    </row>
    <row r="10" spans="1:5" x14ac:dyDescent="0.2">
      <c r="A10" s="3" t="s">
        <v>224</v>
      </c>
      <c r="B10">
        <v>157924</v>
      </c>
      <c r="D10" s="3" t="s">
        <v>231</v>
      </c>
      <c r="E10">
        <v>6</v>
      </c>
    </row>
    <row r="11" spans="1:5" x14ac:dyDescent="0.2">
      <c r="D11" s="3" t="s">
        <v>224</v>
      </c>
      <c r="E11">
        <v>40</v>
      </c>
    </row>
    <row r="12" spans="1:5" x14ac:dyDescent="0.2">
      <c r="D12" t="s">
        <v>223</v>
      </c>
      <c r="E12" t="s">
        <v>225</v>
      </c>
    </row>
    <row r="17" spans="6:7" x14ac:dyDescent="0.2">
      <c r="F17" s="2" t="s">
        <v>223</v>
      </c>
      <c r="G17" t="s">
        <v>225</v>
      </c>
    </row>
    <row r="18" spans="6:7" x14ac:dyDescent="0.2">
      <c r="F18" s="3" t="s">
        <v>56</v>
      </c>
      <c r="G18">
        <v>8</v>
      </c>
    </row>
    <row r="19" spans="6:7" x14ac:dyDescent="0.2">
      <c r="F19" s="3" t="s">
        <v>25</v>
      </c>
      <c r="G19">
        <v>8</v>
      </c>
    </row>
    <row r="20" spans="6:7" x14ac:dyDescent="0.2">
      <c r="F20" s="3" t="s">
        <v>65</v>
      </c>
      <c r="G20">
        <v>8</v>
      </c>
    </row>
    <row r="21" spans="6:7" x14ac:dyDescent="0.2">
      <c r="F21" s="3" t="s">
        <v>46</v>
      </c>
      <c r="G21">
        <v>8</v>
      </c>
    </row>
    <row r="22" spans="6:7" x14ac:dyDescent="0.2">
      <c r="F22" s="3" t="s">
        <v>35</v>
      </c>
      <c r="G22">
        <v>8</v>
      </c>
    </row>
    <row r="23" spans="6:7" x14ac:dyDescent="0.2">
      <c r="F23" s="3" t="s">
        <v>224</v>
      </c>
      <c r="G23">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ACE89-CF1F-9944-89D0-B0EBB0245872}">
  <dimension ref="A3:B7"/>
  <sheetViews>
    <sheetView workbookViewId="0">
      <selection activeCell="L17" sqref="L17"/>
    </sheetView>
  </sheetViews>
  <sheetFormatPr baseColWidth="10" defaultRowHeight="15" x14ac:dyDescent="0.2"/>
  <cols>
    <col min="1" max="1" width="12.1640625" bestFit="1" customWidth="1"/>
    <col min="2" max="2" width="17.6640625" bestFit="1" customWidth="1"/>
  </cols>
  <sheetData>
    <row r="3" spans="1:2" x14ac:dyDescent="0.2">
      <c r="A3" s="2" t="s">
        <v>223</v>
      </c>
      <c r="B3" t="s">
        <v>225</v>
      </c>
    </row>
    <row r="4" spans="1:2" x14ac:dyDescent="0.2">
      <c r="A4" s="3" t="s">
        <v>47</v>
      </c>
      <c r="B4">
        <v>13</v>
      </c>
    </row>
    <row r="5" spans="1:2" x14ac:dyDescent="0.2">
      <c r="A5" s="3" t="s">
        <v>37</v>
      </c>
      <c r="B5">
        <v>13</v>
      </c>
    </row>
    <row r="6" spans="1:2" x14ac:dyDescent="0.2">
      <c r="A6" s="3" t="s">
        <v>26</v>
      </c>
      <c r="B6">
        <v>14</v>
      </c>
    </row>
    <row r="7" spans="1:2" x14ac:dyDescent="0.2">
      <c r="A7" s="3" t="s">
        <v>224</v>
      </c>
      <c r="B7">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1"/>
  <sheetViews>
    <sheetView zoomScale="91" zoomScaleNormal="91" workbookViewId="0">
      <selection activeCell="F13" sqref="F13"/>
    </sheetView>
  </sheetViews>
  <sheetFormatPr baseColWidth="10" defaultColWidth="8.83203125" defaultRowHeight="15" x14ac:dyDescent="0.2"/>
  <cols>
    <col min="2" max="2" width="18" bestFit="1" customWidth="1"/>
    <col min="3" max="3" width="14.6640625" bestFit="1" customWidth="1"/>
    <col min="5" max="5" width="19.33203125" bestFit="1" customWidth="1"/>
    <col min="7" max="7" width="14" bestFit="1" customWidth="1"/>
    <col min="8" max="8" width="14.33203125" bestFit="1" customWidth="1"/>
    <col min="9" max="10" width="10.1640625" bestFit="1" customWidth="1"/>
    <col min="11" max="11" width="16.1640625" bestFit="1" customWidth="1"/>
    <col min="12" max="12" width="12.83203125" bestFit="1" customWidth="1"/>
    <col min="13" max="13" width="15.1640625" bestFit="1" customWidth="1"/>
    <col min="14" max="14" width="15.5" bestFit="1" customWidth="1"/>
  </cols>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4" t="s">
        <v>227</v>
      </c>
    </row>
    <row r="2" spans="1:16" x14ac:dyDescent="0.2">
      <c r="A2" t="s">
        <v>15</v>
      </c>
      <c r="B2" t="s">
        <v>16</v>
      </c>
      <c r="C2" t="s">
        <v>17</v>
      </c>
      <c r="D2" t="s">
        <v>18</v>
      </c>
      <c r="E2" t="s">
        <v>19</v>
      </c>
      <c r="F2" t="s">
        <v>20</v>
      </c>
      <c r="G2" t="s">
        <v>21</v>
      </c>
      <c r="H2" t="s">
        <v>22</v>
      </c>
      <c r="I2" t="s">
        <v>23</v>
      </c>
      <c r="J2" t="s">
        <v>24</v>
      </c>
      <c r="K2" t="s">
        <v>25</v>
      </c>
      <c r="L2">
        <v>3376</v>
      </c>
      <c r="M2" t="s">
        <v>26</v>
      </c>
      <c r="N2" t="s">
        <v>26</v>
      </c>
      <c r="O2">
        <v>21</v>
      </c>
      <c r="P2" t="str">
        <f t="shared" ref="P2:P41" si="0">TEXT(I2,"mmm")</f>
        <v>Jul</v>
      </c>
    </row>
    <row r="3" spans="1:16" x14ac:dyDescent="0.2">
      <c r="A3" t="s">
        <v>27</v>
      </c>
      <c r="B3" t="s">
        <v>28</v>
      </c>
      <c r="C3" t="s">
        <v>29</v>
      </c>
      <c r="D3" t="s">
        <v>18</v>
      </c>
      <c r="E3" t="s">
        <v>19</v>
      </c>
      <c r="F3" t="s">
        <v>30</v>
      </c>
      <c r="G3" t="s">
        <v>31</v>
      </c>
      <c r="H3" t="s">
        <v>32</v>
      </c>
      <c r="I3" t="s">
        <v>33</v>
      </c>
      <c r="J3" t="s">
        <v>34</v>
      </c>
      <c r="K3" t="s">
        <v>35</v>
      </c>
      <c r="L3">
        <v>3157</v>
      </c>
      <c r="M3" t="s">
        <v>36</v>
      </c>
      <c r="N3" t="s">
        <v>37</v>
      </c>
      <c r="O3">
        <v>21</v>
      </c>
      <c r="P3" t="str">
        <f t="shared" si="0"/>
        <v>Jul</v>
      </c>
    </row>
    <row r="4" spans="1:16" x14ac:dyDescent="0.2">
      <c r="A4" t="s">
        <v>38</v>
      </c>
      <c r="B4" t="s">
        <v>39</v>
      </c>
      <c r="C4" t="s">
        <v>40</v>
      </c>
      <c r="D4" t="s">
        <v>18</v>
      </c>
      <c r="E4" t="s">
        <v>19</v>
      </c>
      <c r="F4" t="s">
        <v>41</v>
      </c>
      <c r="G4" t="s">
        <v>42</v>
      </c>
      <c r="H4" t="s">
        <v>43</v>
      </c>
      <c r="I4" t="s">
        <v>44</v>
      </c>
      <c r="J4" t="s">
        <v>45</v>
      </c>
      <c r="K4" t="s">
        <v>46</v>
      </c>
      <c r="L4">
        <v>5375</v>
      </c>
      <c r="M4" t="s">
        <v>36</v>
      </c>
      <c r="N4" t="s">
        <v>47</v>
      </c>
      <c r="O4">
        <v>21</v>
      </c>
      <c r="P4" t="str">
        <f t="shared" si="0"/>
        <v>Jul</v>
      </c>
    </row>
    <row r="5" spans="1:16" x14ac:dyDescent="0.2">
      <c r="A5" t="s">
        <v>48</v>
      </c>
      <c r="B5" t="s">
        <v>49</v>
      </c>
      <c r="C5" t="s">
        <v>50</v>
      </c>
      <c r="D5" t="s">
        <v>18</v>
      </c>
      <c r="E5" t="s">
        <v>19</v>
      </c>
      <c r="F5" t="s">
        <v>51</v>
      </c>
      <c r="G5" t="s">
        <v>52</v>
      </c>
      <c r="H5" t="s">
        <v>53</v>
      </c>
      <c r="I5" t="s">
        <v>54</v>
      </c>
      <c r="J5" t="s">
        <v>55</v>
      </c>
      <c r="K5" t="s">
        <v>56</v>
      </c>
      <c r="L5">
        <v>2711</v>
      </c>
      <c r="M5" t="s">
        <v>26</v>
      </c>
      <c r="N5" t="s">
        <v>26</v>
      </c>
      <c r="O5">
        <v>21</v>
      </c>
      <c r="P5" t="str">
        <f t="shared" si="0"/>
        <v>Jul</v>
      </c>
    </row>
    <row r="6" spans="1:16" x14ac:dyDescent="0.2">
      <c r="A6" t="s">
        <v>57</v>
      </c>
      <c r="B6" t="s">
        <v>58</v>
      </c>
      <c r="C6" t="s">
        <v>59</v>
      </c>
      <c r="D6" t="s">
        <v>18</v>
      </c>
      <c r="E6" t="s">
        <v>19</v>
      </c>
      <c r="F6" t="s">
        <v>60</v>
      </c>
      <c r="G6" t="s">
        <v>61</v>
      </c>
      <c r="H6" t="s">
        <v>62</v>
      </c>
      <c r="I6" t="s">
        <v>63</v>
      </c>
      <c r="J6" t="s">
        <v>64</v>
      </c>
      <c r="K6" t="s">
        <v>65</v>
      </c>
      <c r="L6">
        <v>2581</v>
      </c>
      <c r="M6" t="s">
        <v>36</v>
      </c>
      <c r="N6" t="s">
        <v>37</v>
      </c>
      <c r="O6">
        <v>21</v>
      </c>
      <c r="P6" t="str">
        <f t="shared" si="0"/>
        <v>Aug</v>
      </c>
    </row>
    <row r="7" spans="1:16" x14ac:dyDescent="0.2">
      <c r="A7" t="s">
        <v>66</v>
      </c>
      <c r="B7" t="s">
        <v>67</v>
      </c>
      <c r="C7" t="s">
        <v>68</v>
      </c>
      <c r="D7" t="s">
        <v>18</v>
      </c>
      <c r="E7" t="s">
        <v>19</v>
      </c>
      <c r="F7" t="s">
        <v>69</v>
      </c>
      <c r="G7" t="s">
        <v>70</v>
      </c>
      <c r="H7" t="s">
        <v>71</v>
      </c>
      <c r="I7" t="s">
        <v>72</v>
      </c>
      <c r="J7" t="s">
        <v>73</v>
      </c>
      <c r="K7" t="s">
        <v>25</v>
      </c>
      <c r="L7">
        <v>3639</v>
      </c>
      <c r="M7" t="s">
        <v>36</v>
      </c>
      <c r="N7" t="s">
        <v>47</v>
      </c>
      <c r="O7">
        <v>21</v>
      </c>
      <c r="P7" t="str">
        <f t="shared" si="0"/>
        <v>Aug</v>
      </c>
    </row>
    <row r="8" spans="1:16" x14ac:dyDescent="0.2">
      <c r="A8" t="s">
        <v>74</v>
      </c>
      <c r="B8" t="s">
        <v>75</v>
      </c>
      <c r="C8" t="s">
        <v>76</v>
      </c>
      <c r="D8" t="s">
        <v>18</v>
      </c>
      <c r="E8" t="s">
        <v>19</v>
      </c>
      <c r="F8" t="s">
        <v>77</v>
      </c>
      <c r="G8" t="s">
        <v>21</v>
      </c>
      <c r="H8" t="s">
        <v>78</v>
      </c>
      <c r="I8" t="s">
        <v>79</v>
      </c>
      <c r="J8" t="s">
        <v>80</v>
      </c>
      <c r="K8" t="s">
        <v>35</v>
      </c>
      <c r="L8">
        <v>3098</v>
      </c>
      <c r="M8" t="s">
        <v>26</v>
      </c>
      <c r="N8" t="s">
        <v>26</v>
      </c>
      <c r="O8">
        <v>21</v>
      </c>
      <c r="P8" t="str">
        <f t="shared" si="0"/>
        <v>Aug</v>
      </c>
    </row>
    <row r="9" spans="1:16" x14ac:dyDescent="0.2">
      <c r="A9" t="s">
        <v>81</v>
      </c>
      <c r="B9" t="s">
        <v>82</v>
      </c>
      <c r="C9" t="s">
        <v>83</v>
      </c>
      <c r="D9" t="s">
        <v>18</v>
      </c>
      <c r="E9" t="s">
        <v>19</v>
      </c>
      <c r="F9" t="s">
        <v>84</v>
      </c>
      <c r="G9" t="s">
        <v>31</v>
      </c>
      <c r="H9" t="s">
        <v>85</v>
      </c>
      <c r="I9" t="s">
        <v>86</v>
      </c>
      <c r="J9" t="s">
        <v>87</v>
      </c>
      <c r="K9" t="s">
        <v>46</v>
      </c>
      <c r="L9">
        <v>2657</v>
      </c>
      <c r="M9" t="s">
        <v>36</v>
      </c>
      <c r="N9" t="s">
        <v>37</v>
      </c>
      <c r="O9">
        <v>21</v>
      </c>
      <c r="P9" t="str">
        <f t="shared" si="0"/>
        <v>Aug</v>
      </c>
    </row>
    <row r="10" spans="1:16" x14ac:dyDescent="0.2">
      <c r="A10" t="s">
        <v>88</v>
      </c>
      <c r="B10" t="s">
        <v>89</v>
      </c>
      <c r="C10" t="s">
        <v>90</v>
      </c>
      <c r="D10" t="s">
        <v>18</v>
      </c>
      <c r="E10" t="s">
        <v>19</v>
      </c>
      <c r="F10" t="s">
        <v>20</v>
      </c>
      <c r="G10" t="s">
        <v>42</v>
      </c>
      <c r="H10" t="s">
        <v>91</v>
      </c>
      <c r="I10" t="s">
        <v>92</v>
      </c>
      <c r="J10" t="s">
        <v>93</v>
      </c>
      <c r="K10" t="s">
        <v>56</v>
      </c>
      <c r="L10">
        <v>3921</v>
      </c>
      <c r="M10" t="s">
        <v>36</v>
      </c>
      <c r="N10" t="s">
        <v>47</v>
      </c>
      <c r="O10">
        <v>21</v>
      </c>
      <c r="P10" t="str">
        <f t="shared" si="0"/>
        <v>Aug</v>
      </c>
    </row>
    <row r="11" spans="1:16" x14ac:dyDescent="0.2">
      <c r="A11" t="s">
        <v>94</v>
      </c>
      <c r="B11" t="s">
        <v>95</v>
      </c>
      <c r="C11" t="s">
        <v>96</v>
      </c>
      <c r="D11" t="s">
        <v>18</v>
      </c>
      <c r="E11" t="s">
        <v>19</v>
      </c>
      <c r="F11" t="s">
        <v>30</v>
      </c>
      <c r="G11" t="s">
        <v>52</v>
      </c>
      <c r="H11" t="s">
        <v>97</v>
      </c>
      <c r="I11" t="s">
        <v>98</v>
      </c>
      <c r="J11" t="s">
        <v>99</v>
      </c>
      <c r="K11" t="s">
        <v>65</v>
      </c>
      <c r="L11">
        <v>5101</v>
      </c>
      <c r="M11" t="s">
        <v>26</v>
      </c>
      <c r="N11" t="s">
        <v>26</v>
      </c>
      <c r="O11">
        <v>21</v>
      </c>
      <c r="P11" t="str">
        <f t="shared" si="0"/>
        <v>Aug</v>
      </c>
    </row>
    <row r="12" spans="1:16" x14ac:dyDescent="0.2">
      <c r="A12" t="s">
        <v>100</v>
      </c>
      <c r="B12" t="s">
        <v>16</v>
      </c>
      <c r="C12" t="s">
        <v>17</v>
      </c>
      <c r="D12" t="s">
        <v>18</v>
      </c>
      <c r="E12" t="s">
        <v>19</v>
      </c>
      <c r="F12" t="s">
        <v>41</v>
      </c>
      <c r="G12" t="s">
        <v>61</v>
      </c>
      <c r="H12" t="s">
        <v>101</v>
      </c>
      <c r="I12" t="s">
        <v>102</v>
      </c>
      <c r="J12" t="s">
        <v>103</v>
      </c>
      <c r="K12" t="s">
        <v>25</v>
      </c>
      <c r="L12">
        <v>4733</v>
      </c>
      <c r="M12" t="s">
        <v>36</v>
      </c>
      <c r="N12" t="s">
        <v>37</v>
      </c>
      <c r="O12">
        <v>21</v>
      </c>
      <c r="P12" t="str">
        <f t="shared" si="0"/>
        <v>Aug</v>
      </c>
    </row>
    <row r="13" spans="1:16" x14ac:dyDescent="0.2">
      <c r="A13" t="s">
        <v>104</v>
      </c>
      <c r="B13" t="s">
        <v>28</v>
      </c>
      <c r="C13" t="s">
        <v>29</v>
      </c>
      <c r="D13" t="s">
        <v>18</v>
      </c>
      <c r="E13" t="s">
        <v>19</v>
      </c>
      <c r="F13" t="s">
        <v>51</v>
      </c>
      <c r="G13" t="s">
        <v>70</v>
      </c>
      <c r="H13" t="s">
        <v>105</v>
      </c>
      <c r="I13" t="s">
        <v>106</v>
      </c>
      <c r="J13" t="s">
        <v>107</v>
      </c>
      <c r="K13" t="s">
        <v>35</v>
      </c>
      <c r="L13">
        <v>3014</v>
      </c>
      <c r="M13" t="s">
        <v>36</v>
      </c>
      <c r="N13" t="s">
        <v>47</v>
      </c>
      <c r="O13">
        <v>21</v>
      </c>
      <c r="P13" t="str">
        <f t="shared" si="0"/>
        <v>Aug</v>
      </c>
    </row>
    <row r="14" spans="1:16" x14ac:dyDescent="0.2">
      <c r="A14" t="s">
        <v>108</v>
      </c>
      <c r="B14" t="s">
        <v>39</v>
      </c>
      <c r="C14" t="s">
        <v>40</v>
      </c>
      <c r="D14" t="s">
        <v>18</v>
      </c>
      <c r="E14" t="s">
        <v>19</v>
      </c>
      <c r="F14" t="s">
        <v>60</v>
      </c>
      <c r="G14" t="s">
        <v>21</v>
      </c>
      <c r="H14" t="s">
        <v>109</v>
      </c>
      <c r="I14" t="s">
        <v>110</v>
      </c>
      <c r="J14" t="s">
        <v>111</v>
      </c>
      <c r="K14" t="s">
        <v>46</v>
      </c>
      <c r="L14">
        <v>3561</v>
      </c>
      <c r="M14" t="s">
        <v>26</v>
      </c>
      <c r="N14" t="s">
        <v>26</v>
      </c>
      <c r="O14">
        <v>21</v>
      </c>
      <c r="P14" t="str">
        <f t="shared" si="0"/>
        <v>Aug</v>
      </c>
    </row>
    <row r="15" spans="1:16" x14ac:dyDescent="0.2">
      <c r="A15" t="s">
        <v>112</v>
      </c>
      <c r="B15" t="s">
        <v>49</v>
      </c>
      <c r="C15" t="s">
        <v>50</v>
      </c>
      <c r="D15" t="s">
        <v>18</v>
      </c>
      <c r="E15" t="s">
        <v>19</v>
      </c>
      <c r="F15" t="s">
        <v>69</v>
      </c>
      <c r="G15" t="s">
        <v>31</v>
      </c>
      <c r="H15" t="s">
        <v>113</v>
      </c>
      <c r="I15" t="s">
        <v>114</v>
      </c>
      <c r="J15" t="s">
        <v>115</v>
      </c>
      <c r="K15" t="s">
        <v>56</v>
      </c>
      <c r="L15">
        <v>3063</v>
      </c>
      <c r="M15" t="s">
        <v>36</v>
      </c>
      <c r="N15" t="s">
        <v>37</v>
      </c>
      <c r="O15">
        <v>21</v>
      </c>
      <c r="P15" t="str">
        <f t="shared" si="0"/>
        <v>Aug</v>
      </c>
    </row>
    <row r="16" spans="1:16" x14ac:dyDescent="0.2">
      <c r="A16" t="s">
        <v>116</v>
      </c>
      <c r="B16" t="s">
        <v>58</v>
      </c>
      <c r="C16" t="s">
        <v>59</v>
      </c>
      <c r="D16" t="s">
        <v>18</v>
      </c>
      <c r="E16" t="s">
        <v>19</v>
      </c>
      <c r="F16" t="s">
        <v>77</v>
      </c>
      <c r="G16" t="s">
        <v>42</v>
      </c>
      <c r="H16" t="s">
        <v>117</v>
      </c>
      <c r="I16" t="s">
        <v>118</v>
      </c>
      <c r="J16" t="s">
        <v>119</v>
      </c>
      <c r="K16" t="s">
        <v>65</v>
      </c>
      <c r="L16">
        <v>5215</v>
      </c>
      <c r="M16" t="s">
        <v>36</v>
      </c>
      <c r="N16" t="s">
        <v>47</v>
      </c>
      <c r="O16">
        <v>21</v>
      </c>
      <c r="P16" t="str">
        <f t="shared" si="0"/>
        <v>Aug</v>
      </c>
    </row>
    <row r="17" spans="1:16" x14ac:dyDescent="0.2">
      <c r="A17" t="s">
        <v>120</v>
      </c>
      <c r="B17" t="s">
        <v>67</v>
      </c>
      <c r="C17" t="s">
        <v>68</v>
      </c>
      <c r="D17" t="s">
        <v>18</v>
      </c>
      <c r="E17" t="s">
        <v>19</v>
      </c>
      <c r="F17" t="s">
        <v>84</v>
      </c>
      <c r="G17" t="s">
        <v>52</v>
      </c>
      <c r="H17" t="s">
        <v>121</v>
      </c>
      <c r="I17" t="s">
        <v>122</v>
      </c>
      <c r="J17" t="s">
        <v>123</v>
      </c>
      <c r="K17" t="s">
        <v>25</v>
      </c>
      <c r="L17">
        <v>3447</v>
      </c>
      <c r="M17" t="s">
        <v>26</v>
      </c>
      <c r="N17" t="s">
        <v>26</v>
      </c>
      <c r="O17">
        <v>21</v>
      </c>
      <c r="P17" t="str">
        <f t="shared" si="0"/>
        <v>Aug</v>
      </c>
    </row>
    <row r="18" spans="1:16" x14ac:dyDescent="0.2">
      <c r="A18" t="s">
        <v>124</v>
      </c>
      <c r="B18" t="s">
        <v>75</v>
      </c>
      <c r="C18" t="s">
        <v>76</v>
      </c>
      <c r="D18" t="s">
        <v>18</v>
      </c>
      <c r="E18" t="s">
        <v>19</v>
      </c>
      <c r="F18" t="s">
        <v>20</v>
      </c>
      <c r="G18" t="s">
        <v>61</v>
      </c>
      <c r="H18" t="s">
        <v>125</v>
      </c>
      <c r="I18" t="s">
        <v>126</v>
      </c>
      <c r="J18" t="s">
        <v>127</v>
      </c>
      <c r="K18" t="s">
        <v>35</v>
      </c>
      <c r="L18">
        <v>4581</v>
      </c>
      <c r="M18" t="s">
        <v>36</v>
      </c>
      <c r="N18" t="s">
        <v>37</v>
      </c>
      <c r="O18">
        <v>21</v>
      </c>
      <c r="P18" t="str">
        <f t="shared" si="0"/>
        <v>Aug</v>
      </c>
    </row>
    <row r="19" spans="1:16" x14ac:dyDescent="0.2">
      <c r="A19" t="s">
        <v>128</v>
      </c>
      <c r="B19" t="s">
        <v>82</v>
      </c>
      <c r="C19" t="s">
        <v>83</v>
      </c>
      <c r="D19" t="s">
        <v>18</v>
      </c>
      <c r="E19" t="s">
        <v>19</v>
      </c>
      <c r="F19" t="s">
        <v>30</v>
      </c>
      <c r="G19" t="s">
        <v>70</v>
      </c>
      <c r="H19" t="s">
        <v>129</v>
      </c>
      <c r="I19" t="s">
        <v>130</v>
      </c>
      <c r="J19" t="s">
        <v>131</v>
      </c>
      <c r="K19" t="s">
        <v>46</v>
      </c>
      <c r="L19">
        <v>5073</v>
      </c>
      <c r="M19" t="s">
        <v>36</v>
      </c>
      <c r="N19" t="s">
        <v>47</v>
      </c>
      <c r="O19">
        <v>21</v>
      </c>
      <c r="P19" t="str">
        <f t="shared" si="0"/>
        <v>Aug</v>
      </c>
    </row>
    <row r="20" spans="1:16" x14ac:dyDescent="0.2">
      <c r="A20" t="s">
        <v>132</v>
      </c>
      <c r="B20" t="s">
        <v>89</v>
      </c>
      <c r="C20" t="s">
        <v>90</v>
      </c>
      <c r="D20" t="s">
        <v>18</v>
      </c>
      <c r="E20" t="s">
        <v>19</v>
      </c>
      <c r="F20" t="s">
        <v>41</v>
      </c>
      <c r="G20" t="s">
        <v>21</v>
      </c>
      <c r="H20" t="s">
        <v>133</v>
      </c>
      <c r="I20" t="s">
        <v>134</v>
      </c>
      <c r="J20" t="s">
        <v>135</v>
      </c>
      <c r="K20" t="s">
        <v>56</v>
      </c>
      <c r="L20">
        <v>3353</v>
      </c>
      <c r="M20" t="s">
        <v>26</v>
      </c>
      <c r="N20" t="s">
        <v>26</v>
      </c>
      <c r="O20">
        <v>21</v>
      </c>
      <c r="P20" t="str">
        <f t="shared" si="0"/>
        <v>Aug</v>
      </c>
    </row>
    <row r="21" spans="1:16" x14ac:dyDescent="0.2">
      <c r="A21" t="s">
        <v>136</v>
      </c>
      <c r="B21" t="s">
        <v>95</v>
      </c>
      <c r="C21" t="s">
        <v>96</v>
      </c>
      <c r="D21" t="s">
        <v>18</v>
      </c>
      <c r="E21" t="s">
        <v>19</v>
      </c>
      <c r="F21" t="s">
        <v>51</v>
      </c>
      <c r="G21" t="s">
        <v>31</v>
      </c>
      <c r="H21" t="s">
        <v>137</v>
      </c>
      <c r="I21" t="s">
        <v>138</v>
      </c>
      <c r="J21" t="s">
        <v>139</v>
      </c>
      <c r="K21" t="s">
        <v>65</v>
      </c>
      <c r="L21">
        <v>2639</v>
      </c>
      <c r="M21" t="s">
        <v>36</v>
      </c>
      <c r="N21" t="s">
        <v>37</v>
      </c>
      <c r="O21">
        <v>21</v>
      </c>
      <c r="P21" t="str">
        <f t="shared" si="0"/>
        <v>Sep</v>
      </c>
    </row>
    <row r="22" spans="1:16" x14ac:dyDescent="0.2">
      <c r="A22" t="s">
        <v>140</v>
      </c>
      <c r="B22" t="s">
        <v>16</v>
      </c>
      <c r="C22" t="s">
        <v>17</v>
      </c>
      <c r="D22" t="s">
        <v>18</v>
      </c>
      <c r="E22" t="s">
        <v>19</v>
      </c>
      <c r="F22" t="s">
        <v>60</v>
      </c>
      <c r="G22" t="s">
        <v>42</v>
      </c>
      <c r="H22" t="s">
        <v>141</v>
      </c>
      <c r="I22" t="s">
        <v>142</v>
      </c>
      <c r="J22" t="s">
        <v>143</v>
      </c>
      <c r="K22" t="s">
        <v>25</v>
      </c>
      <c r="L22">
        <v>4583</v>
      </c>
      <c r="M22" t="s">
        <v>36</v>
      </c>
      <c r="N22" t="s">
        <v>47</v>
      </c>
      <c r="O22">
        <v>21</v>
      </c>
      <c r="P22" t="str">
        <f t="shared" si="0"/>
        <v>Sep</v>
      </c>
    </row>
    <row r="23" spans="1:16" x14ac:dyDescent="0.2">
      <c r="A23" t="s">
        <v>144</v>
      </c>
      <c r="B23" t="s">
        <v>28</v>
      </c>
      <c r="C23" t="s">
        <v>29</v>
      </c>
      <c r="D23" t="s">
        <v>18</v>
      </c>
      <c r="E23" t="s">
        <v>19</v>
      </c>
      <c r="F23" t="s">
        <v>69</v>
      </c>
      <c r="G23" t="s">
        <v>52</v>
      </c>
      <c r="H23" t="s">
        <v>145</v>
      </c>
      <c r="I23" t="s">
        <v>146</v>
      </c>
      <c r="J23" t="s">
        <v>147</v>
      </c>
      <c r="K23" t="s">
        <v>35</v>
      </c>
      <c r="L23">
        <v>3426</v>
      </c>
      <c r="M23" t="s">
        <v>26</v>
      </c>
      <c r="N23" t="s">
        <v>26</v>
      </c>
      <c r="O23">
        <v>21</v>
      </c>
      <c r="P23" t="str">
        <f t="shared" si="0"/>
        <v>Sep</v>
      </c>
    </row>
    <row r="24" spans="1:16" x14ac:dyDescent="0.2">
      <c r="A24" t="s">
        <v>148</v>
      </c>
      <c r="B24" t="s">
        <v>39</v>
      </c>
      <c r="C24" t="s">
        <v>40</v>
      </c>
      <c r="D24" t="s">
        <v>18</v>
      </c>
      <c r="E24" t="s">
        <v>19</v>
      </c>
      <c r="F24" t="s">
        <v>77</v>
      </c>
      <c r="G24" t="s">
        <v>61</v>
      </c>
      <c r="H24" t="s">
        <v>149</v>
      </c>
      <c r="I24" t="s">
        <v>150</v>
      </c>
      <c r="J24" t="s">
        <v>151</v>
      </c>
      <c r="K24" t="s">
        <v>46</v>
      </c>
      <c r="L24">
        <v>5321</v>
      </c>
      <c r="M24" t="s">
        <v>36</v>
      </c>
      <c r="N24" t="s">
        <v>37</v>
      </c>
      <c r="O24">
        <v>21</v>
      </c>
      <c r="P24" t="str">
        <f t="shared" si="0"/>
        <v>Sep</v>
      </c>
    </row>
    <row r="25" spans="1:16" x14ac:dyDescent="0.2">
      <c r="A25" t="s">
        <v>152</v>
      </c>
      <c r="B25" t="s">
        <v>49</v>
      </c>
      <c r="C25" t="s">
        <v>50</v>
      </c>
      <c r="D25" t="s">
        <v>18</v>
      </c>
      <c r="E25" t="s">
        <v>19</v>
      </c>
      <c r="F25" t="s">
        <v>84</v>
      </c>
      <c r="G25" t="s">
        <v>70</v>
      </c>
      <c r="H25" t="s">
        <v>153</v>
      </c>
      <c r="I25" t="s">
        <v>154</v>
      </c>
      <c r="J25" t="s">
        <v>155</v>
      </c>
      <c r="K25" t="s">
        <v>56</v>
      </c>
      <c r="L25">
        <v>3452</v>
      </c>
      <c r="M25" t="s">
        <v>36</v>
      </c>
      <c r="N25" t="s">
        <v>47</v>
      </c>
      <c r="O25">
        <v>21</v>
      </c>
      <c r="P25" t="str">
        <f t="shared" si="0"/>
        <v>Sep</v>
      </c>
    </row>
    <row r="26" spans="1:16" x14ac:dyDescent="0.2">
      <c r="A26" t="s">
        <v>156</v>
      </c>
      <c r="B26" t="s">
        <v>58</v>
      </c>
      <c r="C26" t="s">
        <v>59</v>
      </c>
      <c r="D26" t="s">
        <v>18</v>
      </c>
      <c r="E26" t="s">
        <v>19</v>
      </c>
      <c r="F26" t="s">
        <v>20</v>
      </c>
      <c r="G26" t="s">
        <v>21</v>
      </c>
      <c r="H26" t="s">
        <v>157</v>
      </c>
      <c r="I26" t="s">
        <v>158</v>
      </c>
      <c r="J26" t="s">
        <v>159</v>
      </c>
      <c r="K26" t="s">
        <v>65</v>
      </c>
      <c r="L26">
        <v>2558</v>
      </c>
      <c r="M26" t="s">
        <v>26</v>
      </c>
      <c r="N26" t="s">
        <v>26</v>
      </c>
      <c r="O26">
        <v>21</v>
      </c>
      <c r="P26" t="str">
        <f t="shared" si="0"/>
        <v>Sep</v>
      </c>
    </row>
    <row r="27" spans="1:16" x14ac:dyDescent="0.2">
      <c r="A27" t="s">
        <v>160</v>
      </c>
      <c r="B27" t="s">
        <v>67</v>
      </c>
      <c r="C27" t="s">
        <v>68</v>
      </c>
      <c r="D27" t="s">
        <v>18</v>
      </c>
      <c r="E27" t="s">
        <v>19</v>
      </c>
      <c r="F27" t="s">
        <v>30</v>
      </c>
      <c r="G27" t="s">
        <v>31</v>
      </c>
      <c r="H27" t="s">
        <v>161</v>
      </c>
      <c r="I27" t="s">
        <v>162</v>
      </c>
      <c r="J27" t="s">
        <v>163</v>
      </c>
      <c r="K27" t="s">
        <v>25</v>
      </c>
      <c r="L27">
        <v>3704</v>
      </c>
      <c r="M27" t="s">
        <v>36</v>
      </c>
      <c r="N27" t="s">
        <v>37</v>
      </c>
      <c r="O27">
        <v>21</v>
      </c>
      <c r="P27" t="str">
        <f t="shared" si="0"/>
        <v>Sep</v>
      </c>
    </row>
    <row r="28" spans="1:16" x14ac:dyDescent="0.2">
      <c r="A28" t="s">
        <v>164</v>
      </c>
      <c r="B28" t="s">
        <v>75</v>
      </c>
      <c r="C28" t="s">
        <v>76</v>
      </c>
      <c r="D28" t="s">
        <v>18</v>
      </c>
      <c r="E28" t="s">
        <v>19</v>
      </c>
      <c r="F28" t="s">
        <v>41</v>
      </c>
      <c r="G28" t="s">
        <v>42</v>
      </c>
      <c r="H28" t="s">
        <v>165</v>
      </c>
      <c r="I28" t="s">
        <v>166</v>
      </c>
      <c r="J28" t="s">
        <v>167</v>
      </c>
      <c r="K28" t="s">
        <v>35</v>
      </c>
      <c r="L28">
        <v>5316</v>
      </c>
      <c r="M28" t="s">
        <v>36</v>
      </c>
      <c r="N28" t="s">
        <v>47</v>
      </c>
      <c r="O28">
        <v>21</v>
      </c>
      <c r="P28" t="str">
        <f t="shared" si="0"/>
        <v>Sep</v>
      </c>
    </row>
    <row r="29" spans="1:16" x14ac:dyDescent="0.2">
      <c r="A29" t="s">
        <v>168</v>
      </c>
      <c r="B29" t="s">
        <v>82</v>
      </c>
      <c r="C29" t="s">
        <v>83</v>
      </c>
      <c r="D29" t="s">
        <v>18</v>
      </c>
      <c r="E29" t="s">
        <v>19</v>
      </c>
      <c r="F29" t="s">
        <v>51</v>
      </c>
      <c r="G29" t="s">
        <v>52</v>
      </c>
      <c r="H29" t="s">
        <v>169</v>
      </c>
      <c r="I29" t="s">
        <v>170</v>
      </c>
      <c r="J29" t="s">
        <v>171</v>
      </c>
      <c r="K29" t="s">
        <v>46</v>
      </c>
      <c r="L29">
        <v>3660</v>
      </c>
      <c r="M29" t="s">
        <v>26</v>
      </c>
      <c r="N29" t="s">
        <v>26</v>
      </c>
      <c r="O29">
        <v>21</v>
      </c>
      <c r="P29" t="str">
        <f t="shared" si="0"/>
        <v>Sep</v>
      </c>
    </row>
    <row r="30" spans="1:16" x14ac:dyDescent="0.2">
      <c r="A30" t="s">
        <v>172</v>
      </c>
      <c r="B30" t="s">
        <v>89</v>
      </c>
      <c r="C30" t="s">
        <v>90</v>
      </c>
      <c r="D30" t="s">
        <v>18</v>
      </c>
      <c r="E30" t="s">
        <v>19</v>
      </c>
      <c r="F30" t="s">
        <v>60</v>
      </c>
      <c r="G30" t="s">
        <v>61</v>
      </c>
      <c r="H30" t="s">
        <v>173</v>
      </c>
      <c r="I30" t="s">
        <v>174</v>
      </c>
      <c r="J30" t="s">
        <v>175</v>
      </c>
      <c r="K30" t="s">
        <v>56</v>
      </c>
      <c r="L30">
        <v>3351</v>
      </c>
      <c r="M30" t="s">
        <v>36</v>
      </c>
      <c r="N30" t="s">
        <v>37</v>
      </c>
      <c r="O30">
        <v>21</v>
      </c>
      <c r="P30" t="str">
        <f t="shared" si="0"/>
        <v>Sep</v>
      </c>
    </row>
    <row r="31" spans="1:16" x14ac:dyDescent="0.2">
      <c r="A31" t="s">
        <v>176</v>
      </c>
      <c r="B31" t="s">
        <v>95</v>
      </c>
      <c r="C31" t="s">
        <v>96</v>
      </c>
      <c r="D31" t="s">
        <v>18</v>
      </c>
      <c r="E31" t="s">
        <v>19</v>
      </c>
      <c r="F31" t="s">
        <v>69</v>
      </c>
      <c r="G31" t="s">
        <v>70</v>
      </c>
      <c r="H31" t="s">
        <v>177</v>
      </c>
      <c r="I31" t="s">
        <v>178</v>
      </c>
      <c r="J31" t="s">
        <v>179</v>
      </c>
      <c r="K31" t="s">
        <v>65</v>
      </c>
      <c r="L31">
        <v>5370</v>
      </c>
      <c r="M31" t="s">
        <v>36</v>
      </c>
      <c r="N31" t="s">
        <v>47</v>
      </c>
      <c r="O31">
        <v>21</v>
      </c>
      <c r="P31" t="str">
        <f t="shared" si="0"/>
        <v>Sep</v>
      </c>
    </row>
    <row r="32" spans="1:16" x14ac:dyDescent="0.2">
      <c r="A32" t="s">
        <v>180</v>
      </c>
      <c r="B32" t="s">
        <v>16</v>
      </c>
      <c r="C32" t="s">
        <v>17</v>
      </c>
      <c r="D32" t="s">
        <v>18</v>
      </c>
      <c r="E32" t="s">
        <v>19</v>
      </c>
      <c r="F32" t="s">
        <v>77</v>
      </c>
      <c r="G32" t="s">
        <v>21</v>
      </c>
      <c r="H32" t="s">
        <v>181</v>
      </c>
      <c r="I32" t="s">
        <v>182</v>
      </c>
      <c r="J32" t="s">
        <v>183</v>
      </c>
      <c r="K32" t="s">
        <v>25</v>
      </c>
      <c r="L32">
        <v>3848</v>
      </c>
      <c r="M32" t="s">
        <v>26</v>
      </c>
      <c r="N32" t="s">
        <v>26</v>
      </c>
      <c r="O32">
        <v>21</v>
      </c>
      <c r="P32" t="str">
        <f t="shared" si="0"/>
        <v>Sep</v>
      </c>
    </row>
    <row r="33" spans="1:16" x14ac:dyDescent="0.2">
      <c r="A33" t="s">
        <v>184</v>
      </c>
      <c r="B33" t="s">
        <v>28</v>
      </c>
      <c r="C33" t="s">
        <v>29</v>
      </c>
      <c r="D33" t="s">
        <v>18</v>
      </c>
      <c r="E33" t="s">
        <v>19</v>
      </c>
      <c r="F33" t="s">
        <v>84</v>
      </c>
      <c r="G33" t="s">
        <v>31</v>
      </c>
      <c r="H33" t="s">
        <v>185</v>
      </c>
      <c r="I33" t="s">
        <v>186</v>
      </c>
      <c r="J33" t="s">
        <v>187</v>
      </c>
      <c r="K33" t="s">
        <v>35</v>
      </c>
      <c r="L33">
        <v>4027</v>
      </c>
      <c r="M33" t="s">
        <v>36</v>
      </c>
      <c r="N33" t="s">
        <v>37</v>
      </c>
      <c r="O33">
        <v>21</v>
      </c>
      <c r="P33" t="str">
        <f t="shared" si="0"/>
        <v>Sep</v>
      </c>
    </row>
    <row r="34" spans="1:16" x14ac:dyDescent="0.2">
      <c r="A34" t="s">
        <v>188</v>
      </c>
      <c r="B34" t="s">
        <v>39</v>
      </c>
      <c r="C34" t="s">
        <v>40</v>
      </c>
      <c r="D34" t="s">
        <v>18</v>
      </c>
      <c r="E34" t="s">
        <v>19</v>
      </c>
      <c r="F34" t="s">
        <v>20</v>
      </c>
      <c r="G34" t="s">
        <v>42</v>
      </c>
      <c r="H34" t="s">
        <v>189</v>
      </c>
      <c r="I34" t="s">
        <v>190</v>
      </c>
      <c r="J34" t="s">
        <v>191</v>
      </c>
      <c r="K34" t="s">
        <v>46</v>
      </c>
      <c r="L34">
        <v>3234</v>
      </c>
      <c r="M34" t="s">
        <v>36</v>
      </c>
      <c r="N34" t="s">
        <v>47</v>
      </c>
      <c r="O34">
        <v>21</v>
      </c>
      <c r="P34" t="str">
        <f t="shared" si="0"/>
        <v>Sep</v>
      </c>
    </row>
    <row r="35" spans="1:16" x14ac:dyDescent="0.2">
      <c r="A35" t="s">
        <v>192</v>
      </c>
      <c r="B35" t="s">
        <v>49</v>
      </c>
      <c r="C35" t="s">
        <v>50</v>
      </c>
      <c r="D35" t="s">
        <v>18</v>
      </c>
      <c r="E35" t="s">
        <v>19</v>
      </c>
      <c r="F35" t="s">
        <v>30</v>
      </c>
      <c r="G35" t="s">
        <v>52</v>
      </c>
      <c r="H35" t="s">
        <v>193</v>
      </c>
      <c r="I35" t="s">
        <v>194</v>
      </c>
      <c r="J35" t="s">
        <v>195</v>
      </c>
      <c r="K35" t="s">
        <v>56</v>
      </c>
      <c r="L35">
        <v>4204</v>
      </c>
      <c r="M35" t="s">
        <v>26</v>
      </c>
      <c r="N35" t="s">
        <v>26</v>
      </c>
      <c r="O35">
        <v>21</v>
      </c>
      <c r="P35" t="str">
        <f t="shared" si="0"/>
        <v>Sep</v>
      </c>
    </row>
    <row r="36" spans="1:16" x14ac:dyDescent="0.2">
      <c r="A36" t="s">
        <v>196</v>
      </c>
      <c r="B36" t="s">
        <v>58</v>
      </c>
      <c r="C36" t="s">
        <v>59</v>
      </c>
      <c r="D36" t="s">
        <v>18</v>
      </c>
      <c r="E36" t="s">
        <v>19</v>
      </c>
      <c r="F36" t="s">
        <v>41</v>
      </c>
      <c r="G36" t="s">
        <v>61</v>
      </c>
      <c r="H36" t="s">
        <v>197</v>
      </c>
      <c r="I36" t="s">
        <v>198</v>
      </c>
      <c r="J36" t="s">
        <v>199</v>
      </c>
      <c r="K36" t="s">
        <v>65</v>
      </c>
      <c r="L36">
        <v>3211</v>
      </c>
      <c r="M36" t="s">
        <v>36</v>
      </c>
      <c r="N36" t="s">
        <v>37</v>
      </c>
      <c r="O36">
        <v>21</v>
      </c>
      <c r="P36" t="str">
        <f t="shared" si="0"/>
        <v>Oct</v>
      </c>
    </row>
    <row r="37" spans="1:16" x14ac:dyDescent="0.2">
      <c r="A37" t="s">
        <v>200</v>
      </c>
      <c r="B37" t="s">
        <v>67</v>
      </c>
      <c r="C37" t="s">
        <v>68</v>
      </c>
      <c r="D37" t="s">
        <v>18</v>
      </c>
      <c r="E37" t="s">
        <v>19</v>
      </c>
      <c r="F37" t="s">
        <v>51</v>
      </c>
      <c r="G37" t="s">
        <v>70</v>
      </c>
      <c r="H37" t="s">
        <v>201</v>
      </c>
      <c r="I37" t="s">
        <v>202</v>
      </c>
      <c r="J37" t="s">
        <v>203</v>
      </c>
      <c r="K37" t="s">
        <v>25</v>
      </c>
      <c r="L37">
        <v>5129</v>
      </c>
      <c r="M37" t="s">
        <v>36</v>
      </c>
      <c r="N37" t="s">
        <v>47</v>
      </c>
      <c r="O37">
        <v>21</v>
      </c>
      <c r="P37" t="str">
        <f t="shared" si="0"/>
        <v>Oct</v>
      </c>
    </row>
    <row r="38" spans="1:16" x14ac:dyDescent="0.2">
      <c r="A38" t="s">
        <v>204</v>
      </c>
      <c r="B38" t="s">
        <v>75</v>
      </c>
      <c r="C38" t="s">
        <v>76</v>
      </c>
      <c r="D38" t="s">
        <v>18</v>
      </c>
      <c r="E38" t="s">
        <v>19</v>
      </c>
      <c r="F38" t="s">
        <v>60</v>
      </c>
      <c r="G38" t="s">
        <v>21</v>
      </c>
      <c r="H38" t="s">
        <v>205</v>
      </c>
      <c r="I38" t="s">
        <v>206</v>
      </c>
      <c r="J38" t="s">
        <v>207</v>
      </c>
      <c r="K38" t="s">
        <v>35</v>
      </c>
      <c r="L38">
        <v>5272</v>
      </c>
      <c r="M38" t="s">
        <v>26</v>
      </c>
      <c r="N38" t="s">
        <v>26</v>
      </c>
      <c r="O38">
        <v>21</v>
      </c>
      <c r="P38" t="str">
        <f t="shared" si="0"/>
        <v>Oct</v>
      </c>
    </row>
    <row r="39" spans="1:16" x14ac:dyDescent="0.2">
      <c r="A39" t="s">
        <v>208</v>
      </c>
      <c r="B39" t="s">
        <v>82</v>
      </c>
      <c r="C39" t="s">
        <v>83</v>
      </c>
      <c r="D39" t="s">
        <v>18</v>
      </c>
      <c r="E39" t="s">
        <v>19</v>
      </c>
      <c r="F39" t="s">
        <v>69</v>
      </c>
      <c r="G39" t="s">
        <v>31</v>
      </c>
      <c r="H39" t="s">
        <v>209</v>
      </c>
      <c r="I39" t="s">
        <v>210</v>
      </c>
      <c r="J39" t="s">
        <v>211</v>
      </c>
      <c r="K39" t="s">
        <v>46</v>
      </c>
      <c r="L39">
        <v>5270</v>
      </c>
      <c r="M39" t="s">
        <v>36</v>
      </c>
      <c r="N39" t="s">
        <v>37</v>
      </c>
      <c r="O39">
        <v>21</v>
      </c>
      <c r="P39" t="str">
        <f t="shared" si="0"/>
        <v>Oct</v>
      </c>
    </row>
    <row r="40" spans="1:16" x14ac:dyDescent="0.2">
      <c r="A40" t="s">
        <v>212</v>
      </c>
      <c r="B40" t="s">
        <v>89</v>
      </c>
      <c r="C40" t="s">
        <v>90</v>
      </c>
      <c r="D40" t="s">
        <v>18</v>
      </c>
      <c r="E40" t="s">
        <v>19</v>
      </c>
      <c r="F40" t="s">
        <v>77</v>
      </c>
      <c r="G40" t="s">
        <v>42</v>
      </c>
      <c r="H40" t="s">
        <v>213</v>
      </c>
      <c r="I40" t="s">
        <v>214</v>
      </c>
      <c r="J40" t="s">
        <v>215</v>
      </c>
      <c r="K40" t="s">
        <v>56</v>
      </c>
      <c r="L40">
        <v>3839</v>
      </c>
      <c r="M40" t="s">
        <v>36</v>
      </c>
      <c r="N40" t="s">
        <v>47</v>
      </c>
      <c r="O40">
        <v>21</v>
      </c>
      <c r="P40" t="str">
        <f t="shared" si="0"/>
        <v>Oct</v>
      </c>
    </row>
    <row r="41" spans="1:16" x14ac:dyDescent="0.2">
      <c r="A41" t="s">
        <v>216</v>
      </c>
      <c r="B41" t="s">
        <v>95</v>
      </c>
      <c r="C41" t="s">
        <v>96</v>
      </c>
      <c r="D41" t="s">
        <v>18</v>
      </c>
      <c r="E41" t="s">
        <v>19</v>
      </c>
      <c r="F41" t="s">
        <v>84</v>
      </c>
      <c r="G41" t="s">
        <v>52</v>
      </c>
      <c r="H41" t="s">
        <v>217</v>
      </c>
      <c r="I41" t="s">
        <v>218</v>
      </c>
      <c r="J41" t="s">
        <v>219</v>
      </c>
      <c r="K41" t="s">
        <v>65</v>
      </c>
      <c r="L41">
        <v>4854</v>
      </c>
      <c r="M41" t="s">
        <v>26</v>
      </c>
      <c r="N41" t="s">
        <v>26</v>
      </c>
      <c r="O41">
        <v>21</v>
      </c>
      <c r="P41" t="str">
        <f t="shared" si="0"/>
        <v>Oct</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56"/>
  <sheetViews>
    <sheetView showGridLines="0" tabSelected="1" topLeftCell="A4" zoomScale="75" zoomScaleNormal="95" workbookViewId="0">
      <selection activeCell="S47" sqref="S47"/>
    </sheetView>
  </sheetViews>
  <sheetFormatPr baseColWidth="10" defaultColWidth="8.83203125" defaultRowHeight="15" x14ac:dyDescent="0.2"/>
  <cols>
    <col min="4" max="4" width="13.83203125" bestFit="1" customWidth="1"/>
    <col min="5" max="5" width="17.6640625" bestFit="1" customWidth="1"/>
    <col min="13" max="13" width="12" bestFit="1" customWidth="1"/>
  </cols>
  <sheetData>
    <row r="1" spans="1:30" ht="26" x14ac:dyDescent="0.3">
      <c r="A1" s="5"/>
      <c r="B1" s="5"/>
      <c r="C1" s="5"/>
      <c r="D1" s="5"/>
      <c r="E1" s="5"/>
      <c r="F1" s="5"/>
      <c r="G1" s="5"/>
      <c r="H1" s="12"/>
      <c r="I1" s="12"/>
      <c r="J1" s="13"/>
      <c r="K1" s="13" t="s">
        <v>232</v>
      </c>
      <c r="L1" s="12"/>
      <c r="M1" s="12"/>
      <c r="N1" s="12"/>
      <c r="O1" s="5"/>
      <c r="P1" s="5"/>
      <c r="Q1" s="5"/>
      <c r="R1" s="5"/>
      <c r="S1" s="5"/>
      <c r="T1" s="5"/>
      <c r="U1" s="5"/>
      <c r="V1" s="5"/>
      <c r="W1" s="5"/>
      <c r="X1" s="5"/>
      <c r="Y1" s="5"/>
      <c r="Z1" s="5"/>
      <c r="AA1" s="5"/>
      <c r="AB1" s="5"/>
      <c r="AC1" s="5"/>
      <c r="AD1" s="5"/>
    </row>
    <row r="2" spans="1:30" x14ac:dyDescent="0.2">
      <c r="A2" s="6"/>
      <c r="B2" s="6"/>
      <c r="C2" s="6"/>
      <c r="D2" s="6"/>
      <c r="E2" s="6"/>
      <c r="F2" s="6"/>
      <c r="G2" s="6"/>
      <c r="H2" s="6"/>
      <c r="I2" s="6"/>
      <c r="J2" s="14" t="s">
        <v>233</v>
      </c>
      <c r="K2" s="14"/>
      <c r="L2" s="14"/>
      <c r="M2" s="14"/>
      <c r="N2" s="7"/>
      <c r="O2" s="6"/>
      <c r="P2" s="6"/>
      <c r="Q2" s="6"/>
      <c r="R2" s="6"/>
      <c r="S2" s="6"/>
      <c r="T2" s="6"/>
      <c r="U2" s="6"/>
      <c r="V2" s="6"/>
      <c r="W2" s="6"/>
      <c r="X2" s="6"/>
      <c r="Y2" s="6"/>
      <c r="Z2" s="6"/>
      <c r="AA2" s="6"/>
      <c r="AB2" s="6"/>
      <c r="AC2" s="6"/>
      <c r="AD2" s="6"/>
    </row>
    <row r="3" spans="1:30" x14ac:dyDescent="0.2">
      <c r="A3" s="19" t="s">
        <v>220</v>
      </c>
      <c r="B3" s="19"/>
      <c r="C3" s="16"/>
      <c r="D3" s="16"/>
      <c r="E3" s="21" t="s">
        <v>46</v>
      </c>
      <c r="F3" s="21"/>
      <c r="G3" s="22"/>
      <c r="H3" s="22"/>
      <c r="I3" s="17" t="s">
        <v>35</v>
      </c>
      <c r="J3" s="17"/>
      <c r="K3" s="16"/>
      <c r="L3" s="16"/>
      <c r="M3" s="16" t="s">
        <v>235</v>
      </c>
      <c r="N3" s="16"/>
      <c r="O3" s="16"/>
      <c r="P3" s="16"/>
      <c r="Q3" s="16" t="s">
        <v>221</v>
      </c>
      <c r="R3" s="16"/>
      <c r="S3" s="16"/>
      <c r="T3" s="16"/>
      <c r="U3" s="16" t="s">
        <v>234</v>
      </c>
      <c r="V3" s="16"/>
      <c r="W3" s="16"/>
      <c r="X3" s="16"/>
      <c r="Y3" s="16"/>
      <c r="Z3" s="16"/>
      <c r="AA3" s="16"/>
      <c r="AB3" s="16"/>
      <c r="AC3" s="16"/>
      <c r="AD3" s="16"/>
    </row>
    <row r="4" spans="1:30" x14ac:dyDescent="0.2">
      <c r="A4" s="18">
        <f>COUNTA(Shipments!A2:A41)</f>
        <v>40</v>
      </c>
      <c r="B4" s="18"/>
      <c r="C4" s="20"/>
      <c r="D4" s="20"/>
      <c r="E4" s="18">
        <v>8</v>
      </c>
      <c r="F4" s="18"/>
      <c r="G4" s="23"/>
      <c r="H4" s="23"/>
      <c r="I4" s="18">
        <v>8</v>
      </c>
      <c r="J4" s="18"/>
      <c r="K4" s="8"/>
      <c r="L4" s="8"/>
      <c r="M4" s="11" t="s">
        <v>236</v>
      </c>
      <c r="N4" s="8"/>
      <c r="O4" s="8"/>
      <c r="P4" s="8"/>
      <c r="Q4" s="9">
        <v>21</v>
      </c>
      <c r="R4" s="10"/>
      <c r="S4" s="8"/>
      <c r="T4" s="9"/>
      <c r="U4" s="18">
        <v>8</v>
      </c>
      <c r="V4" s="18"/>
    </row>
    <row r="53" spans="1:29" x14ac:dyDescent="0.2">
      <c r="A53" t="s">
        <v>237</v>
      </c>
    </row>
    <row r="54" spans="1:29" x14ac:dyDescent="0.2">
      <c r="A54" t="s">
        <v>238</v>
      </c>
    </row>
    <row r="56" spans="1:29" x14ac:dyDescent="0.2">
      <c r="Y56" s="15"/>
      <c r="AA56" s="15"/>
      <c r="AC56" s="15"/>
    </row>
  </sheetData>
  <mergeCells count="21">
    <mergeCell ref="I4:J4"/>
    <mergeCell ref="K3:L3"/>
    <mergeCell ref="U4:V4"/>
    <mergeCell ref="A3:B3"/>
    <mergeCell ref="A4:B4"/>
    <mergeCell ref="C3:D3"/>
    <mergeCell ref="C4:D4"/>
    <mergeCell ref="E3:F3"/>
    <mergeCell ref="E4:F4"/>
    <mergeCell ref="G3:H3"/>
    <mergeCell ref="G4:H4"/>
    <mergeCell ref="W3:X3"/>
    <mergeCell ref="Y3:Z3"/>
    <mergeCell ref="AA3:AB3"/>
    <mergeCell ref="AC3:AD3"/>
    <mergeCell ref="I3:J3"/>
    <mergeCell ref="M3:N3"/>
    <mergeCell ref="O3:P3"/>
    <mergeCell ref="Q3:R3"/>
    <mergeCell ref="S3:T3"/>
    <mergeCell ref="U3:V3"/>
  </mergeCells>
  <pageMargins left="0.75" right="0.75" top="1" bottom="1" header="0.5" footer="0.5"/>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9"/>
  <sheetViews>
    <sheetView workbookViewId="0"/>
  </sheetViews>
  <sheetFormatPr baseColWidth="10" defaultColWidth="8.83203125" defaultRowHeight="15" x14ac:dyDescent="0.2"/>
  <sheetData>
    <row r="1" spans="1:1" x14ac:dyDescent="0.2">
      <c r="A1" t="s">
        <v>222</v>
      </c>
    </row>
    <row r="2" spans="1:1" x14ac:dyDescent="0.2">
      <c r="A2" t="s">
        <v>30</v>
      </c>
    </row>
    <row r="3" spans="1:1" x14ac:dyDescent="0.2">
      <c r="A3" t="s">
        <v>84</v>
      </c>
    </row>
    <row r="4" spans="1:1" x14ac:dyDescent="0.2">
      <c r="A4" t="s">
        <v>60</v>
      </c>
    </row>
    <row r="5" spans="1:1" x14ac:dyDescent="0.2">
      <c r="A5" t="s">
        <v>51</v>
      </c>
    </row>
    <row r="6" spans="1:1" x14ac:dyDescent="0.2">
      <c r="A6" t="s">
        <v>69</v>
      </c>
    </row>
    <row r="7" spans="1:1" x14ac:dyDescent="0.2">
      <c r="A7" t="s">
        <v>77</v>
      </c>
    </row>
    <row r="8" spans="1:1" x14ac:dyDescent="0.2">
      <c r="A8" t="s">
        <v>41</v>
      </c>
    </row>
    <row r="9" spans="1:1" x14ac:dyDescent="0.2">
      <c r="A9" t="s">
        <v>20</v>
      </c>
    </row>
  </sheetData>
  <pageMargins left="0.75" right="0.75" top="1" bottom="1" header="0.5" footer="0.5"/>
</worksheet>
</file>

<file path=docMetadata/LabelInfo.xml><?xml version="1.0" encoding="utf-8"?>
<clbl:labelList xmlns:clbl="http://schemas.microsoft.com/office/2020/mipLabelMetadata">
  <clbl:label id="{d79a8112-4fbe-417a-a112-cd0fb490d85c}" enabled="0" method="" siteId="{d79a8112-4fbe-417a-a112-cd0fb490d85c}"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Sheet7</vt:lpstr>
      <vt:lpstr>Shipments</vt:lpstr>
      <vt:lpstr>Dashboard</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Gupta, Trijal (Student)</cp:lastModifiedBy>
  <dcterms:created xsi:type="dcterms:W3CDTF">2026-07-22T20:35:22Z</dcterms:created>
  <dcterms:modified xsi:type="dcterms:W3CDTF">2026-08-13T19:19:53Z</dcterms:modified>
</cp:coreProperties>
</file>